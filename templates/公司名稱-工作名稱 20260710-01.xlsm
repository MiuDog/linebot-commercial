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c-max\設計繪圖共用\2026 設計繪圖共享資源\"/>
    </mc:Choice>
  </mc:AlternateContent>
  <xr:revisionPtr revIDLastSave="0" documentId="13_ncr:1_{54FD2DFF-0908-4BEB-A562-B0D4EDCBF9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NS" sheetId="13" r:id="rId1"/>
    <sheet name="一般架" sheetId="14" r:id="rId2"/>
    <sheet name="船用" sheetId="12" r:id="rId3"/>
    <sheet name="空白" sheetId="15" r:id="rId4"/>
    <sheet name="銷售報價單(報價單號前會多一個S)" sheetId="16" r:id="rId5"/>
  </sheets>
  <definedNames>
    <definedName name="_xlnm._FilterDatabase" localSheetId="0" hidden="1">CNS!$A$10:$K$33</definedName>
    <definedName name="_xlnm._FilterDatabase" localSheetId="1" hidden="1">一般架!$A$10:$K$32</definedName>
    <definedName name="_xlnm._FilterDatabase" localSheetId="3" hidden="1">空白!$A$10:$K$30</definedName>
    <definedName name="_xlnm._FilterDatabase" localSheetId="2" hidden="1">船用!$A$10:$K$25</definedName>
    <definedName name="_xlnm._FilterDatabase" localSheetId="4" hidden="1">'銷售報價單(報價單號前會多一個S)'!$A$10:$K$30</definedName>
    <definedName name="_xlnm.Print_Area" localSheetId="0">CNS!$A$1:$H$51</definedName>
    <definedName name="_xlnm.Print_Area" localSheetId="1">一般架!$A$1:$H$50</definedName>
    <definedName name="_xlnm.Print_Area" localSheetId="3">空白!$A$1:$H$47</definedName>
    <definedName name="_xlnm.Print_Area" localSheetId="2">船用!$A$1:$H$41</definedName>
    <definedName name="_xlnm.Print_Area" localSheetId="4">'銷售報價單(報價單號前會多一個S)'!$A$1:$H$48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13" l="1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28" i="16"/>
  <c r="G27" i="16"/>
  <c r="G26" i="16"/>
  <c r="G25" i="16"/>
  <c r="G23" i="16"/>
  <c r="G22" i="16"/>
  <c r="G21" i="16"/>
  <c r="G20" i="16"/>
  <c r="G19" i="16"/>
  <c r="G18" i="16"/>
  <c r="G17" i="16"/>
  <c r="G28" i="15"/>
  <c r="G27" i="15"/>
  <c r="G26" i="15"/>
  <c r="G25" i="15"/>
  <c r="G23" i="15"/>
  <c r="G22" i="15"/>
  <c r="G21" i="15"/>
  <c r="G20" i="15"/>
  <c r="G19" i="15"/>
  <c r="G18" i="15"/>
  <c r="G17" i="15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1" i="13"/>
  <c r="G12" i="12"/>
  <c r="G13" i="12"/>
  <c r="G14" i="12"/>
  <c r="G15" i="12"/>
  <c r="G16" i="12"/>
  <c r="G17" i="12"/>
  <c r="G18" i="12"/>
  <c r="G19" i="12"/>
  <c r="G20" i="12"/>
  <c r="G21" i="12"/>
  <c r="G22" i="12"/>
  <c r="G23" i="12"/>
  <c r="G11" i="12"/>
  <c r="G25" i="12" s="1"/>
  <c r="G30" i="16" l="1"/>
  <c r="G29" i="16"/>
  <c r="G26" i="12"/>
  <c r="G27" i="12" s="1"/>
  <c r="G30" i="15"/>
  <c r="G29" i="15"/>
  <c r="G31" i="14"/>
  <c r="G32" i="14"/>
  <c r="G33" i="13"/>
  <c r="G32" i="13"/>
  <c r="G24" i="12"/>
  <c r="G31" i="16" l="1"/>
  <c r="G32" i="16" s="1"/>
  <c r="G31" i="15"/>
  <c r="G32" i="15" s="1"/>
  <c r="G33" i="14"/>
  <c r="G34" i="14" s="1"/>
  <c r="G34" i="13"/>
  <c r="G35" i="13" s="1"/>
</calcChain>
</file>

<file path=xl/sharedStrings.xml><?xml version="1.0" encoding="utf-8"?>
<sst xmlns="http://schemas.openxmlformats.org/spreadsheetml/2006/main" count="331" uniqueCount="97">
  <si>
    <t>NO.</t>
    <phoneticPr fontId="1" type="noConversion"/>
  </si>
  <si>
    <t>m2</t>
    <phoneticPr fontId="1" type="noConversion"/>
  </si>
  <si>
    <t>式</t>
    <phoneticPr fontId="1" type="noConversion"/>
  </si>
  <si>
    <t>zd0975305717@gmail.com</t>
    <phoneticPr fontId="1" type="noConversion"/>
  </si>
  <si>
    <t>數量</t>
    <phoneticPr fontId="1" type="noConversion"/>
  </si>
  <si>
    <t>單位</t>
    <phoneticPr fontId="1" type="noConversion"/>
  </si>
  <si>
    <t>單價</t>
    <phoneticPr fontId="1" type="noConversion"/>
  </si>
  <si>
    <t>複價</t>
    <phoneticPr fontId="1" type="noConversion"/>
  </si>
  <si>
    <t>備註</t>
    <phoneticPr fontId="1" type="noConversion"/>
  </si>
  <si>
    <t>樓梯</t>
    <phoneticPr fontId="1" type="noConversion"/>
  </si>
  <si>
    <t>支</t>
    <phoneticPr fontId="1" type="noConversion"/>
  </si>
  <si>
    <t>工</t>
    <phoneticPr fontId="1" type="noConversion"/>
  </si>
  <si>
    <t>以下空白</t>
    <phoneticPr fontId="1" type="noConversion"/>
  </si>
  <si>
    <t>承攬交易條件：</t>
    <phoneticPr fontId="1" type="noConversion"/>
  </si>
  <si>
    <t>報價日期:</t>
    <phoneticPr fontId="1" type="noConversion"/>
  </si>
  <si>
    <t>外部鷹架</t>
    <phoneticPr fontId="1" type="noConversion"/>
  </si>
  <si>
    <t>交叉拉桿</t>
  </si>
  <si>
    <t>中欄杆</t>
    <phoneticPr fontId="1" type="noConversion"/>
  </si>
  <si>
    <t>安全母索</t>
    <phoneticPr fontId="1" type="noConversion"/>
  </si>
  <si>
    <t>防塵網</t>
    <phoneticPr fontId="1" type="noConversion"/>
  </si>
  <si>
    <t>延伸架</t>
    <phoneticPr fontId="1" type="noConversion"/>
  </si>
  <si>
    <t>防墜網</t>
    <phoneticPr fontId="1" type="noConversion"/>
  </si>
  <si>
    <t>壁連桿</t>
    <phoneticPr fontId="1" type="noConversion"/>
  </si>
  <si>
    <t>安全斜撐</t>
    <phoneticPr fontId="1" type="noConversion"/>
  </si>
  <si>
    <t>扶手先行</t>
    <phoneticPr fontId="1" type="noConversion"/>
  </si>
  <si>
    <t>三角架(短)</t>
    <phoneticPr fontId="1" type="noConversion"/>
  </si>
  <si>
    <t>鐵夾板</t>
    <phoneticPr fontId="1" type="noConversion"/>
  </si>
  <si>
    <t>腳趾板</t>
    <phoneticPr fontId="1" type="noConversion"/>
  </si>
  <si>
    <t>鷹架點工</t>
    <phoneticPr fontId="1" type="noConversion"/>
  </si>
  <si>
    <t>結構計算(含技師簽證)</t>
    <phoneticPr fontId="1" type="noConversion"/>
  </si>
  <si>
    <t>規格/說明</t>
    <phoneticPr fontId="1" type="noConversion"/>
  </si>
  <si>
    <t>9針</t>
    <phoneticPr fontId="1" type="noConversion"/>
  </si>
  <si>
    <t>30cm寬/內掛式</t>
    <phoneticPr fontId="1" type="noConversion"/>
  </si>
  <si>
    <t>含踏板</t>
    <phoneticPr fontId="1" type="noConversion"/>
  </si>
  <si>
    <t>壁連座/C型夾</t>
    <phoneticPr fontId="1" type="noConversion"/>
  </si>
  <si>
    <t>打底層用/標準型</t>
    <phoneticPr fontId="1" type="noConversion"/>
  </si>
  <si>
    <t>單側搭拆</t>
    <phoneticPr fontId="1" type="noConversion"/>
  </si>
  <si>
    <t>2.材料在工地遺失或損壞照市價賠償。</t>
    <phoneticPr fontId="1" type="noConversion"/>
  </si>
  <si>
    <t>5.付款方式：以匯款支付，搭設完成請領90%,拆架完成請領10%。</t>
    <phoneticPr fontId="1" type="noConversion"/>
  </si>
  <si>
    <t>3.防塵網及帆布網因颱風拆除及復原，一律以點工($3500)計價。破損要求更換，依單價實做實算。</t>
    <phoneticPr fontId="1" type="noConversion"/>
  </si>
  <si>
    <t>稅額:</t>
    <phoneticPr fontId="1" type="noConversion"/>
  </si>
  <si>
    <t>含稅:</t>
    <phoneticPr fontId="1" type="noConversion"/>
  </si>
  <si>
    <t>未稅:</t>
    <phoneticPr fontId="1" type="noConversion"/>
  </si>
  <si>
    <t>m</t>
    <phoneticPr fontId="1" type="noConversion"/>
  </si>
  <si>
    <t>(實做實算)</t>
    <phoneticPr fontId="1" type="noConversion"/>
  </si>
  <si>
    <t>單側</t>
    <phoneticPr fontId="1" type="noConversion"/>
  </si>
  <si>
    <t>帆布</t>
    <phoneticPr fontId="1" type="noConversion"/>
  </si>
  <si>
    <t>不含托架</t>
    <phoneticPr fontId="1" type="noConversion"/>
  </si>
  <si>
    <t>含1.5m以下</t>
    <phoneticPr fontId="1" type="noConversion"/>
  </si>
  <si>
    <t>八字扣</t>
    <phoneticPr fontId="1" type="noConversion"/>
  </si>
  <si>
    <t>活扣</t>
    <phoneticPr fontId="1" type="noConversion"/>
  </si>
  <si>
    <t>pcs</t>
    <phoneticPr fontId="1" type="noConversion"/>
  </si>
  <si>
    <t>G夾</t>
    <phoneticPr fontId="1" type="noConversion"/>
  </si>
  <si>
    <t>(CNS)</t>
    <phoneticPr fontId="1" type="noConversion"/>
  </si>
  <si>
    <t>(一般料)</t>
    <phoneticPr fontId="1" type="noConversion"/>
  </si>
  <si>
    <t>電梯閘門</t>
    <phoneticPr fontId="1" type="noConversion"/>
  </si>
  <si>
    <t>片</t>
    <phoneticPr fontId="1" type="noConversion"/>
  </si>
  <si>
    <t>擇一</t>
    <phoneticPr fontId="1" type="noConversion"/>
  </si>
  <si>
    <t>1.搭設完成如有需改架點工($4000)計價。</t>
    <phoneticPr fontId="1" type="noConversion"/>
  </si>
  <si>
    <t>2.搭架及附件計價以統包為準。</t>
    <phoneticPr fontId="1" type="noConversion"/>
  </si>
  <si>
    <t>4.以上報價不含營業稅金，稅外加。</t>
    <phoneticPr fontId="1" type="noConversion"/>
  </si>
  <si>
    <t>5.本報價單有效期限至2026年01月20日止。</t>
    <phoneticPr fontId="1" type="noConversion"/>
  </si>
  <si>
    <t>NO:</t>
    <phoneticPr fontId="1" type="noConversion"/>
  </si>
  <si>
    <t>客戶名稱:</t>
    <phoneticPr fontId="1" type="noConversion"/>
  </si>
  <si>
    <t>公司電話:</t>
    <phoneticPr fontId="1" type="noConversion"/>
  </si>
  <si>
    <t>公司信箱:</t>
    <phoneticPr fontId="1" type="noConversion"/>
  </si>
  <si>
    <t>聯絡人及電話:</t>
    <phoneticPr fontId="1" type="noConversion"/>
  </si>
  <si>
    <t>工程地點:</t>
    <phoneticPr fontId="1" type="noConversion"/>
  </si>
  <si>
    <t>20260702-01</t>
    <phoneticPr fontId="1" type="noConversion"/>
  </si>
  <si>
    <t>馬元璟'S 0912-230977</t>
    <phoneticPr fontId="1" type="noConversion"/>
  </si>
  <si>
    <t>品項</t>
    <phoneticPr fontId="1" type="noConversion"/>
  </si>
  <si>
    <t>業務承辦:</t>
    <phoneticPr fontId="1" type="noConversion"/>
  </si>
  <si>
    <t>正定信箱:</t>
    <phoneticPr fontId="1" type="noConversion"/>
  </si>
  <si>
    <t>報價經辦</t>
    <phoneticPr fontId="1" type="noConversion"/>
  </si>
  <si>
    <t>客戶回簽</t>
    <phoneticPr fontId="1" type="noConversion"/>
  </si>
  <si>
    <t>4.搭架及附件計價以施工架實際施工數量為準。(施工架長*施工架高)</t>
    <phoneticPr fontId="1" type="noConversion"/>
  </si>
  <si>
    <t>6.以上單價不含營業稅金，稅外加。</t>
    <phoneticPr fontId="1" type="noConversion"/>
  </si>
  <si>
    <t>7.有效期限:2026年7月20號。</t>
    <phoneticPr fontId="1" type="noConversion"/>
  </si>
  <si>
    <t>1.施工架進場使用時間360天，若超過使用時間未全數拆除運離，乙方得依照 每日m2/$1元 向甲方請款逾期租金。</t>
    <phoneticPr fontId="1" type="noConversion"/>
  </si>
  <si>
    <t>1.頂樓搭設完成日起算120天拆架，逾期每日加收租金m2/$1元。</t>
    <phoneticPr fontId="1" type="noConversion"/>
  </si>
  <si>
    <t>6.正常施工時間平日08:00-17:00，如夜間、凌晨搭設則另外計價。
夜間搭設17:00-19:00(每人$800/H * 1.33)19:00-24:00(每人$800/H * 1.67)，凌晨搭24:00-8:00(每人$800/H * 2)
7.假日施工則另外計價。日間搭設8:00-17:00每人$1600/H 
夜間搭設17:00-19:00(每人$1600/H * 1.33)19:00-24:00(每人$1600/H * 1.67)，凌晨搭設24:00-8:00(每人$1600/H * 2)</t>
    <phoneticPr fontId="1" type="noConversion"/>
  </si>
  <si>
    <t>正定電話:</t>
    <phoneticPr fontId="1" type="noConversion"/>
  </si>
  <si>
    <t>04-26380655  正定傳真:04-26380605</t>
    <phoneticPr fontId="1" type="noConversion"/>
  </si>
  <si>
    <t>回簽日期:</t>
    <phoneticPr fontId="1" type="noConversion"/>
  </si>
  <si>
    <t xml:space="preserve">3.付款方式：以匯款(當月底匯款) 支付，搭設完成請領100% 。 </t>
    <phoneticPr fontId="1" type="noConversion"/>
  </si>
  <si>
    <r>
      <rPr>
        <sz val="12"/>
        <color rgb="FFF1C400"/>
        <rFont val="Noto Sans TC"/>
        <family val="2"/>
        <charset val="136"/>
      </rPr>
      <t>S</t>
    </r>
    <r>
      <rPr>
        <sz val="12"/>
        <color rgb="FF495366"/>
        <rFont val="Noto Sans TC"/>
        <family val="2"/>
        <charset val="136"/>
      </rPr>
      <t>20260710-01</t>
    </r>
    <phoneticPr fontId="1" type="noConversion"/>
  </si>
  <si>
    <t>公司電話:                    公司傳真:</t>
    <phoneticPr fontId="1" type="noConversion"/>
  </si>
  <si>
    <t xml:space="preserve">工程地點: </t>
    <phoneticPr fontId="1" type="noConversion"/>
  </si>
  <si>
    <t>1.交期:3個工作天出貨。</t>
    <phoneticPr fontId="1" type="noConversion"/>
  </si>
  <si>
    <t>2.付款方式: 訂金50%尾款50%，出貨完成匯款支付。</t>
    <phoneticPr fontId="1" type="noConversion"/>
  </si>
  <si>
    <t>3.運費:報價單不含運，依送貨地另外報價，由買方負擔。</t>
    <phoneticPr fontId="1" type="noConversion"/>
  </si>
  <si>
    <t>5.本報價單有效期限至2026年07月18日止。</t>
    <phoneticPr fontId="1" type="noConversion"/>
  </si>
  <si>
    <t>6.報價單不含搭設、拆除工資。</t>
    <phoneticPr fontId="1" type="noConversion"/>
  </si>
  <si>
    <t>20260804 -01</t>
    <phoneticPr fontId="1" type="noConversion"/>
  </si>
  <si>
    <t>公司電話:                   公司傳真:</t>
    <phoneticPr fontId="1" type="noConversion"/>
  </si>
  <si>
    <t>7.有效期限:2026年08月13號。</t>
    <phoneticPr fontId="1" type="noConversion"/>
  </si>
  <si>
    <t>交叉拉桿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</si>
</sst>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76" formatCode="#,##0_ "/>
    <numFmt numFmtId="177" formatCode="_-* #,##0_-;\-* #,##0_-;_-* &quot;-&quot;??_-;_-@_-"/>
  </numFmts>
  <fonts count="1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sz val="14"/>
      <color theme="1"/>
      <name val="標楷體"/>
      <family val="4"/>
      <charset val="136"/>
    </font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1"/>
      <color theme="1"/>
      <name val="Noto Sans TC"/>
      <family val="2"/>
      <charset val="136"/>
    </font>
    <font>
      <sz val="20"/>
      <color theme="1"/>
      <name val="Noto Sans TC"/>
      <family val="2"/>
      <charset val="136"/>
    </font>
    <font>
      <sz val="14"/>
      <color theme="1"/>
      <name val="Noto Sans TC"/>
      <family val="2"/>
      <charset val="136"/>
    </font>
    <font>
      <b/>
      <u/>
      <sz val="18"/>
      <color rgb="FF495366"/>
      <name val="Noto Sans TC"/>
      <family val="2"/>
      <charset val="136"/>
    </font>
    <font>
      <sz val="12"/>
      <color rgb="FF495366"/>
      <name val="Noto Sans TC"/>
      <family val="2"/>
      <charset val="136"/>
    </font>
    <font>
      <sz val="10"/>
      <color rgb="FF495366"/>
      <name val="Noto Sans TC"/>
      <family val="2"/>
      <charset val="136"/>
    </font>
    <font>
      <sz val="12"/>
      <color rgb="FF495366"/>
      <name val="標楷體"/>
      <family val="4"/>
      <charset val="136"/>
    </font>
    <font>
      <b/>
      <sz val="12"/>
      <color rgb="FFF1C400"/>
      <name val="Noto Sans TC"/>
      <family val="2"/>
      <charset val="136"/>
    </font>
    <font>
      <sz val="12"/>
      <color rgb="FFF1C400"/>
      <name val="Noto Sans TC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495366"/>
        <bgColor indexed="64"/>
      </patternFill>
    </fill>
    <fill>
      <patternFill patternType="solid">
        <fgColor rgb="FFF1C400"/>
        <bgColor indexed="64"/>
      </patternFill>
    </fill>
  </fills>
  <borders count="4">
    <border>
      <left/>
      <right/>
      <top/>
      <bottom/>
      <diagonal/>
    </border>
    <border>
      <left style="thin">
        <color rgb="FF495366"/>
      </left>
      <right style="thin">
        <color rgb="FF495366"/>
      </right>
      <top style="thin">
        <color rgb="FF495366"/>
      </top>
      <bottom style="thin">
        <color rgb="FF495366"/>
      </bottom>
      <diagonal/>
    </border>
    <border>
      <left/>
      <right/>
      <top/>
      <bottom style="medium">
        <color rgb="FF495366"/>
      </bottom>
      <diagonal/>
    </border>
    <border>
      <left/>
      <right/>
      <top/>
      <bottom style="thin">
        <color rgb="FF495366"/>
      </bottom>
      <diagonal/>
    </border>
  </borders>
  <cellStyleXfs count="3">
    <xf numFmtId="0" fontId="0" fillId="0" borderId="0">
      <alignment vertical="center"/>
    </xf>
    <xf numFmtId="0" fontId="4" fillId="0" borderId="0"/>
    <xf numFmtId="43" fontId="5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14" fontId="3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177" fontId="10" fillId="0" borderId="0" xfId="2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shrinkToFit="1"/>
    </xf>
    <xf numFmtId="177" fontId="10" fillId="0" borderId="0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 shrinkToFit="1"/>
    </xf>
    <xf numFmtId="1" fontId="12" fillId="0" borderId="0" xfId="0" applyNumberFormat="1" applyFont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shrinkToFit="1"/>
    </xf>
    <xf numFmtId="1" fontId="12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0" fontId="12" fillId="2" borderId="0" xfId="0" applyFont="1" applyFill="1">
      <alignment vertical="center"/>
    </xf>
    <xf numFmtId="2" fontId="12" fillId="0" borderId="0" xfId="0" applyNumberFormat="1" applyFont="1">
      <alignment vertical="center"/>
    </xf>
    <xf numFmtId="43" fontId="12" fillId="0" borderId="0" xfId="0" applyNumberFormat="1" applyFont="1">
      <alignment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1" fontId="12" fillId="2" borderId="0" xfId="0" applyNumberFormat="1" applyFont="1" applyFill="1">
      <alignment vertical="center"/>
    </xf>
    <xf numFmtId="176" fontId="10" fillId="0" borderId="0" xfId="0" applyNumberFormat="1" applyFont="1" applyAlignment="1">
      <alignment horizontal="right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177" fontId="10" fillId="0" borderId="1" xfId="2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shrinkToFit="1"/>
    </xf>
    <xf numFmtId="177" fontId="10" fillId="0" borderId="1" xfId="2" applyNumberFormat="1" applyFont="1" applyFill="1" applyBorder="1" applyAlignment="1">
      <alignment horizontal="center" vertical="center"/>
    </xf>
    <xf numFmtId="177" fontId="10" fillId="0" borderId="1" xfId="2" applyNumberFormat="1" applyFont="1" applyFill="1" applyBorder="1" applyAlignment="1">
      <alignment vertical="center"/>
    </xf>
    <xf numFmtId="0" fontId="10" fillId="0" borderId="1" xfId="0" applyFont="1" applyBorder="1" applyAlignment="1">
      <alignment horizontal="center" vertical="center" wrapText="1" shrinkToFit="1"/>
    </xf>
    <xf numFmtId="0" fontId="10" fillId="0" borderId="1" xfId="0" applyFont="1" applyBorder="1">
      <alignment vertical="center"/>
    </xf>
    <xf numFmtId="0" fontId="11" fillId="0" borderId="1" xfId="0" applyFont="1" applyBorder="1">
      <alignment vertical="center"/>
    </xf>
    <xf numFmtId="176" fontId="10" fillId="0" borderId="1" xfId="0" applyNumberFormat="1" applyFont="1" applyBorder="1" applyAlignment="1">
      <alignment horizontal="center" vertical="center"/>
    </xf>
    <xf numFmtId="177" fontId="10" fillId="0" borderId="0" xfId="2" applyNumberFormat="1" applyFont="1" applyFill="1" applyBorder="1" applyAlignment="1">
      <alignment horizontal="right" vertical="center"/>
    </xf>
    <xf numFmtId="14" fontId="10" fillId="0" borderId="0" xfId="0" applyNumberFormat="1" applyFont="1" applyAlignment="1">
      <alignment horizontal="left" vertical="center" wrapText="1" shrinkToFit="1"/>
    </xf>
    <xf numFmtId="14" fontId="10" fillId="0" borderId="3" xfId="0" applyNumberFormat="1" applyFont="1" applyBorder="1" applyAlignment="1">
      <alignment horizontal="left" vertical="center" wrapText="1" shrinkToFit="1"/>
    </xf>
    <xf numFmtId="0" fontId="13" fillId="3" borderId="2" xfId="0" applyFont="1" applyFill="1" applyBorder="1" applyAlignment="1">
      <alignment horizontal="center" vertical="center"/>
    </xf>
    <xf numFmtId="176" fontId="13" fillId="3" borderId="2" xfId="0" applyNumberFormat="1" applyFont="1" applyFill="1" applyBorder="1" applyAlignment="1">
      <alignment horizontal="right" vertical="center"/>
    </xf>
    <xf numFmtId="0" fontId="1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left" vertical="center" wrapText="1" shrinkToFit="1"/>
    </xf>
    <xf numFmtId="177" fontId="10" fillId="0" borderId="0" xfId="2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 wrapText="1" shrinkToFit="1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top" wrapText="1"/>
    </xf>
    <xf numFmtId="0" fontId="10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 shrinkToFit="1"/>
    </xf>
    <xf numFmtId="0" fontId="10" fillId="0" borderId="0" xfId="0" applyFont="1" applyAlignment="1">
      <alignment horizontal="left" vertical="center"/>
    </xf>
  </cellXfs>
  <cellStyles count="3">
    <cellStyle name="一般" xfId="0" builtinId="0"/>
    <cellStyle name="一般 2" xfId="1" xr:uid="{00000000-0005-0000-0000-000001000000}"/>
    <cellStyle name="千分位" xfId="2" builtinId="3"/>
  </cellStyles>
  <dxfs count="0"/>
  <tableStyles count="0" defaultTableStyle="TableStyleMedium9" defaultPivotStyle="PivotStyleLight16"/>
  <colors>
    <mruColors>
      <color rgb="FFF1C400"/>
      <color rgb="FF495366"/>
      <color rgb="FFF6F7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918483</xdr:colOff>
      <xdr:row>45</xdr:row>
      <xdr:rowOff>148543</xdr:rowOff>
    </xdr:from>
    <xdr:to>
      <xdr:col>2</xdr:col>
      <xdr:colOff>857250</xdr:colOff>
      <xdr:row>49</xdr:row>
      <xdr:rowOff>187974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940D67D2-FD2B-44E6-8BA8-5EDDC74D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583" y="11521393"/>
          <a:ext cx="1710417" cy="110623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585108</xdr:rowOff>
    </xdr:from>
    <xdr:to>
      <xdr:col>7</xdr:col>
      <xdr:colOff>2041071</xdr:colOff>
      <xdr:row>2</xdr:row>
      <xdr:rowOff>294681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580BA154-D662-4BBF-A4F2-4057A33D8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1758"/>
          <a:ext cx="8908596" cy="557298"/>
        </a:xfrm>
        <a:prstGeom prst="rect">
          <a:avLst/>
        </a:prstGeom>
      </xdr:spPr>
    </xdr:pic>
    <xdr:clientData/>
  </xdr:twoCellAnchor>
  <xdr:twoCellAnchor editAs="oneCell">
    <xdr:from>
      <xdr:col>0</xdr:col>
      <xdr:colOff>244927</xdr:colOff>
      <xdr:row>0</xdr:row>
      <xdr:rowOff>258534</xdr:rowOff>
    </xdr:from>
    <xdr:to>
      <xdr:col>2</xdr:col>
      <xdr:colOff>83558</xdr:colOff>
      <xdr:row>2</xdr:row>
      <xdr:rowOff>136071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F4859F8F-A61A-426D-B070-67A3CF3CE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7" y="258534"/>
          <a:ext cx="2029381" cy="591912"/>
        </a:xfrm>
        <a:prstGeom prst="rect">
          <a:avLst/>
        </a:prstGeom>
      </xdr:spPr>
    </xdr:pic>
    <xdr:clientData/>
  </xdr:twoCellAnchor>
  <xdr:oneCellAnchor>
    <xdr:from>
      <xdr:col>6</xdr:col>
      <xdr:colOff>435429</xdr:colOff>
      <xdr:row>1</xdr:row>
      <xdr:rowOff>54429</xdr:rowOff>
    </xdr:from>
    <xdr:ext cx="1031051" cy="623440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2B6F3826-27CA-4599-93B0-0CCD50A61BC9}"/>
            </a:ext>
          </a:extLst>
        </xdr:cNvPr>
        <xdr:cNvSpPr txBox="1"/>
      </xdr:nvSpPr>
      <xdr:spPr>
        <a:xfrm>
          <a:off x="6312354" y="502104"/>
          <a:ext cx="1031051" cy="6234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TW" altLang="en-US" sz="2200" b="1" u="none">
              <a:solidFill>
                <a:srgbClr val="495366"/>
              </a:solidFill>
              <a:latin typeface="Noto Sans TC" panose="020B0200000000000000" pitchFamily="34" charset="-120"/>
              <a:ea typeface="Noto Sans TC" panose="020B0200000000000000" pitchFamily="34" charset="-120"/>
            </a:rPr>
            <a:t>報價單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918483</xdr:colOff>
      <xdr:row>44</xdr:row>
      <xdr:rowOff>148543</xdr:rowOff>
    </xdr:from>
    <xdr:to>
      <xdr:col>2</xdr:col>
      <xdr:colOff>857250</xdr:colOff>
      <xdr:row>48</xdr:row>
      <xdr:rowOff>187973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373E5729-83FA-47FE-A093-AC6CB7433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583" y="11521393"/>
          <a:ext cx="1710417" cy="110623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585108</xdr:rowOff>
    </xdr:from>
    <xdr:to>
      <xdr:col>7</xdr:col>
      <xdr:colOff>2041071</xdr:colOff>
      <xdr:row>2</xdr:row>
      <xdr:rowOff>294681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86F93778-339E-4D68-9ABE-518244B24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1758"/>
          <a:ext cx="8908596" cy="557298"/>
        </a:xfrm>
        <a:prstGeom prst="rect">
          <a:avLst/>
        </a:prstGeom>
      </xdr:spPr>
    </xdr:pic>
    <xdr:clientData/>
  </xdr:twoCellAnchor>
  <xdr:twoCellAnchor editAs="oneCell">
    <xdr:from>
      <xdr:col>0</xdr:col>
      <xdr:colOff>244927</xdr:colOff>
      <xdr:row>0</xdr:row>
      <xdr:rowOff>258534</xdr:rowOff>
    </xdr:from>
    <xdr:to>
      <xdr:col>2</xdr:col>
      <xdr:colOff>83558</xdr:colOff>
      <xdr:row>2</xdr:row>
      <xdr:rowOff>136071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3929E6FA-F325-4CB0-9C29-B55927BE8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7" y="258534"/>
          <a:ext cx="2029381" cy="591912"/>
        </a:xfrm>
        <a:prstGeom prst="rect">
          <a:avLst/>
        </a:prstGeom>
      </xdr:spPr>
    </xdr:pic>
    <xdr:clientData/>
  </xdr:twoCellAnchor>
  <xdr:oneCellAnchor>
    <xdr:from>
      <xdr:col>6</xdr:col>
      <xdr:colOff>435429</xdr:colOff>
      <xdr:row>1</xdr:row>
      <xdr:rowOff>54429</xdr:rowOff>
    </xdr:from>
    <xdr:ext cx="1031051" cy="623440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234FBE8C-8F6E-4312-A559-88592C2CDCCE}"/>
            </a:ext>
          </a:extLst>
        </xdr:cNvPr>
        <xdr:cNvSpPr txBox="1"/>
      </xdr:nvSpPr>
      <xdr:spPr>
        <a:xfrm>
          <a:off x="6312354" y="502104"/>
          <a:ext cx="1031051" cy="6234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TW" altLang="en-US" sz="2200" b="1" u="none">
              <a:solidFill>
                <a:srgbClr val="495366"/>
              </a:solidFill>
              <a:latin typeface="Noto Sans TC" panose="020B0200000000000000" pitchFamily="34" charset="-120"/>
              <a:ea typeface="Noto Sans TC" panose="020B0200000000000000" pitchFamily="34" charset="-120"/>
            </a:rPr>
            <a:t>報價單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832758</xdr:colOff>
      <xdr:row>35</xdr:row>
      <xdr:rowOff>129493</xdr:rowOff>
    </xdr:from>
    <xdr:to>
      <xdr:col>2</xdr:col>
      <xdr:colOff>771525</xdr:colOff>
      <xdr:row>39</xdr:row>
      <xdr:rowOff>168924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B1C00C9D-8DBE-1FFA-CC41-F04419782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4579" y="12443957"/>
          <a:ext cx="1707696" cy="112800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585108</xdr:rowOff>
    </xdr:from>
    <xdr:to>
      <xdr:col>7</xdr:col>
      <xdr:colOff>2041071</xdr:colOff>
      <xdr:row>2</xdr:row>
      <xdr:rowOff>294681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A0E877F5-30BD-454F-BA8C-CCB09EB2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5108"/>
          <a:ext cx="8899071" cy="564102"/>
        </a:xfrm>
        <a:prstGeom prst="rect">
          <a:avLst/>
        </a:prstGeom>
      </xdr:spPr>
    </xdr:pic>
    <xdr:clientData/>
  </xdr:twoCellAnchor>
  <xdr:twoCellAnchor editAs="oneCell">
    <xdr:from>
      <xdr:col>0</xdr:col>
      <xdr:colOff>244927</xdr:colOff>
      <xdr:row>0</xdr:row>
      <xdr:rowOff>258534</xdr:rowOff>
    </xdr:from>
    <xdr:to>
      <xdr:col>2</xdr:col>
      <xdr:colOff>83558</xdr:colOff>
      <xdr:row>2</xdr:row>
      <xdr:rowOff>136071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4F8940BC-C8B2-ECCA-1C37-1DA08430E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7" y="258534"/>
          <a:ext cx="2029381" cy="598716"/>
        </a:xfrm>
        <a:prstGeom prst="rect">
          <a:avLst/>
        </a:prstGeom>
      </xdr:spPr>
    </xdr:pic>
    <xdr:clientData/>
  </xdr:twoCellAnchor>
  <xdr:oneCellAnchor>
    <xdr:from>
      <xdr:col>6</xdr:col>
      <xdr:colOff>435429</xdr:colOff>
      <xdr:row>1</xdr:row>
      <xdr:rowOff>54429</xdr:rowOff>
    </xdr:from>
    <xdr:ext cx="1031051" cy="623440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33618747-EB14-E13F-DD6E-7F153D119F87}"/>
            </a:ext>
          </a:extLst>
        </xdr:cNvPr>
        <xdr:cNvSpPr txBox="1"/>
      </xdr:nvSpPr>
      <xdr:spPr>
        <a:xfrm>
          <a:off x="6300108" y="503465"/>
          <a:ext cx="1031051" cy="6234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TW" altLang="en-US" sz="2200" b="1" u="none">
              <a:solidFill>
                <a:srgbClr val="495366"/>
              </a:solidFill>
              <a:latin typeface="Noto Sans TC" panose="020B0200000000000000" pitchFamily="34" charset="-120"/>
              <a:ea typeface="Noto Sans TC" panose="020B0200000000000000" pitchFamily="34" charset="-120"/>
            </a:rPr>
            <a:t>報價單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835270</xdr:colOff>
      <xdr:row>41</xdr:row>
      <xdr:rowOff>92858</xdr:rowOff>
    </xdr:from>
    <xdr:to>
      <xdr:col>2</xdr:col>
      <xdr:colOff>1027969</xdr:colOff>
      <xdr:row>46</xdr:row>
      <xdr:rowOff>30873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5B6C028-C0E0-4209-A80D-611CEF3EC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2905" y="11728012"/>
          <a:ext cx="1965814" cy="12568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585108</xdr:rowOff>
    </xdr:from>
    <xdr:to>
      <xdr:col>7</xdr:col>
      <xdr:colOff>2041071</xdr:colOff>
      <xdr:row>2</xdr:row>
      <xdr:rowOff>294681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C7A90029-36D9-49F1-BA83-DD39DA435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1758"/>
          <a:ext cx="8908596" cy="557298"/>
        </a:xfrm>
        <a:prstGeom prst="rect">
          <a:avLst/>
        </a:prstGeom>
      </xdr:spPr>
    </xdr:pic>
    <xdr:clientData/>
  </xdr:twoCellAnchor>
  <xdr:twoCellAnchor editAs="oneCell">
    <xdr:from>
      <xdr:col>0</xdr:col>
      <xdr:colOff>244927</xdr:colOff>
      <xdr:row>0</xdr:row>
      <xdr:rowOff>258534</xdr:rowOff>
    </xdr:from>
    <xdr:to>
      <xdr:col>2</xdr:col>
      <xdr:colOff>83558</xdr:colOff>
      <xdr:row>2</xdr:row>
      <xdr:rowOff>136071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F01DA7B8-8B86-4253-9491-B307AA617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7" y="258534"/>
          <a:ext cx="2029381" cy="591912"/>
        </a:xfrm>
        <a:prstGeom prst="rect">
          <a:avLst/>
        </a:prstGeom>
      </xdr:spPr>
    </xdr:pic>
    <xdr:clientData/>
  </xdr:twoCellAnchor>
  <xdr:oneCellAnchor>
    <xdr:from>
      <xdr:col>6</xdr:col>
      <xdr:colOff>435429</xdr:colOff>
      <xdr:row>1</xdr:row>
      <xdr:rowOff>54429</xdr:rowOff>
    </xdr:from>
    <xdr:ext cx="1031051" cy="623440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E0C4ECB9-55A3-4C0F-B020-A1C3D95B4A4A}"/>
            </a:ext>
          </a:extLst>
        </xdr:cNvPr>
        <xdr:cNvSpPr txBox="1"/>
      </xdr:nvSpPr>
      <xdr:spPr>
        <a:xfrm>
          <a:off x="6312354" y="502104"/>
          <a:ext cx="1031051" cy="6234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TW" altLang="en-US" sz="2200" b="1" u="none">
              <a:solidFill>
                <a:srgbClr val="495366"/>
              </a:solidFill>
              <a:latin typeface="Noto Sans TC" panose="020B0200000000000000" pitchFamily="34" charset="-120"/>
              <a:ea typeface="Noto Sans TC" panose="020B0200000000000000" pitchFamily="34" charset="-120"/>
            </a:rPr>
            <a:t>報價單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835270</xdr:colOff>
      <xdr:row>42</xdr:row>
      <xdr:rowOff>92858</xdr:rowOff>
    </xdr:from>
    <xdr:to>
      <xdr:col>2</xdr:col>
      <xdr:colOff>1027969</xdr:colOff>
      <xdr:row>47</xdr:row>
      <xdr:rowOff>30873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210B6D0F-86B8-465A-AF21-8F64EDC1A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4370" y="11580008"/>
          <a:ext cx="1964349" cy="12715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585108</xdr:rowOff>
    </xdr:from>
    <xdr:to>
      <xdr:col>7</xdr:col>
      <xdr:colOff>2041071</xdr:colOff>
      <xdr:row>2</xdr:row>
      <xdr:rowOff>294681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E357BA12-2941-4AF7-8AB0-D3F82711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1758"/>
          <a:ext cx="8908596" cy="557298"/>
        </a:xfrm>
        <a:prstGeom prst="rect">
          <a:avLst/>
        </a:prstGeom>
      </xdr:spPr>
    </xdr:pic>
    <xdr:clientData/>
  </xdr:twoCellAnchor>
  <xdr:twoCellAnchor editAs="oneCell">
    <xdr:from>
      <xdr:col>0</xdr:col>
      <xdr:colOff>244927</xdr:colOff>
      <xdr:row>0</xdr:row>
      <xdr:rowOff>258534</xdr:rowOff>
    </xdr:from>
    <xdr:to>
      <xdr:col>2</xdr:col>
      <xdr:colOff>83558</xdr:colOff>
      <xdr:row>2</xdr:row>
      <xdr:rowOff>136071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C9CA301C-0444-4764-8953-6C539D096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7" y="258534"/>
          <a:ext cx="2029381" cy="591912"/>
        </a:xfrm>
        <a:prstGeom prst="rect">
          <a:avLst/>
        </a:prstGeom>
      </xdr:spPr>
    </xdr:pic>
    <xdr:clientData/>
  </xdr:twoCellAnchor>
  <xdr:oneCellAnchor>
    <xdr:from>
      <xdr:col>6</xdr:col>
      <xdr:colOff>225879</xdr:colOff>
      <xdr:row>1</xdr:row>
      <xdr:rowOff>83004</xdr:rowOff>
    </xdr:from>
    <xdr:ext cx="1595309" cy="623440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67A922C8-180A-48A5-A70C-16C53E972616}"/>
            </a:ext>
          </a:extLst>
        </xdr:cNvPr>
        <xdr:cNvSpPr txBox="1"/>
      </xdr:nvSpPr>
      <xdr:spPr>
        <a:xfrm>
          <a:off x="6102804" y="530679"/>
          <a:ext cx="1595309" cy="6234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TW" altLang="en-US" sz="2200" b="1" u="none">
              <a:solidFill>
                <a:srgbClr val="495366"/>
              </a:solidFill>
              <a:latin typeface="Noto Sans TC" panose="020B0200000000000000" pitchFamily="34" charset="-120"/>
              <a:ea typeface="Noto Sans TC" panose="020B0200000000000000" pitchFamily="34" charset="-120"/>
            </a:rPr>
            <a:t>銷售報價單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62880-0E2D-4828-99B8-C04527813793}">
  <sheetPr codeName="工作表6"/>
  <dimension ref="A1:W51"/>
  <sheetViews>
    <sheetView tabSelected="1" view="pageBreakPreview" topLeftCell="B7" zoomScale="85" zoomScaleNormal="100" zoomScaleSheetLayoutView="85" workbookViewId="0">
      <selection activeCell="H16" sqref="H16"/>
    </sheetView>
  </sheetViews>
  <sheetFormatPr defaultColWidth="9" defaultRowHeight="20.100000000000001" customHeight="1"/>
  <cols>
    <col min="1" max="1" width="5.5" style="4" customWidth="1"/>
    <col min="2" max="2" width="23.25" style="4" customWidth="1"/>
    <col min="3" max="3" width="17.75" style="4" customWidth="1"/>
    <col min="4" max="4" width="9.875" style="4" customWidth="1"/>
    <col min="5" max="5" width="5.75" style="4" customWidth="1"/>
    <col min="6" max="6" width="15" style="4" customWidth="1"/>
    <col min="7" max="7" width="13" style="4" customWidth="1"/>
    <col min="8" max="8" width="26.875" style="5" customWidth="1"/>
    <col min="9" max="9" width="13" style="5" customWidth="1"/>
    <col min="10" max="10" width="15.625" style="5" customWidth="1"/>
    <col min="11" max="11" width="13.625" style="5" customWidth="1"/>
    <col min="12" max="12" width="9.375" style="6" customWidth="1"/>
    <col min="13" max="13" width="5.75" style="4" customWidth="1"/>
    <col min="14" max="14" width="11.625" style="4" customWidth="1"/>
    <col min="15" max="16" width="9" style="4"/>
    <col min="17" max="17" width="12.75" style="4" bestFit="1" customWidth="1"/>
    <col min="18" max="20" width="9" style="4"/>
    <col min="21" max="21" width="13.5" style="4" customWidth="1"/>
    <col min="22" max="16384" width="9" style="4"/>
  </cols>
  <sheetData>
    <row r="1" spans="1:23" s="1" customFormat="1" ht="35.25" customHeight="1">
      <c r="A1" s="9"/>
      <c r="B1" s="10"/>
      <c r="C1" s="9"/>
      <c r="D1" s="55"/>
      <c r="E1" s="55"/>
      <c r="F1" s="11"/>
      <c r="G1" s="12"/>
      <c r="H1" s="12"/>
      <c r="I1" s="3"/>
      <c r="J1" s="2"/>
      <c r="L1" s="7"/>
      <c r="O1" s="4"/>
      <c r="P1" s="4"/>
      <c r="Q1" s="4"/>
      <c r="R1" s="4"/>
      <c r="S1" s="4"/>
      <c r="T1" s="4"/>
      <c r="U1" s="4"/>
      <c r="V1" s="4"/>
      <c r="W1" s="4"/>
    </row>
    <row r="2" spans="1:23" s="21" customFormat="1" ht="21">
      <c r="A2" s="13"/>
      <c r="B2" s="14"/>
      <c r="C2" s="15"/>
      <c r="D2" s="16"/>
      <c r="E2" s="17"/>
      <c r="F2" s="18"/>
      <c r="I2" s="19"/>
      <c r="J2" s="19"/>
      <c r="K2" s="20"/>
    </row>
    <row r="3" spans="1:23" s="21" customFormat="1" ht="28.5" customHeight="1">
      <c r="A3" s="13"/>
      <c r="B3" s="14"/>
      <c r="C3" s="15"/>
      <c r="D3" s="16"/>
      <c r="E3" s="17"/>
      <c r="F3" s="18"/>
      <c r="I3" s="19"/>
      <c r="J3" s="19"/>
      <c r="K3" s="20"/>
    </row>
    <row r="4" spans="1:23" s="21" customFormat="1" ht="21">
      <c r="B4" s="25" t="s">
        <v>63</v>
      </c>
      <c r="C4" s="15"/>
      <c r="D4" s="16"/>
      <c r="E4" s="17"/>
      <c r="F4" s="49" t="s">
        <v>62</v>
      </c>
      <c r="G4" s="58" t="s">
        <v>68</v>
      </c>
      <c r="H4" s="58"/>
      <c r="I4" s="19"/>
      <c r="J4" s="19"/>
      <c r="K4" s="20"/>
    </row>
    <row r="5" spans="1:23" s="21" customFormat="1" ht="21">
      <c r="B5" s="25" t="s">
        <v>64</v>
      </c>
      <c r="C5" s="15"/>
      <c r="D5" s="16"/>
      <c r="E5" s="17"/>
      <c r="F5" s="49" t="s">
        <v>14</v>
      </c>
      <c r="G5" s="50">
        <v>46205</v>
      </c>
      <c r="I5" s="19"/>
      <c r="J5" s="19"/>
      <c r="K5" s="20"/>
    </row>
    <row r="6" spans="1:23" s="21" customFormat="1" ht="21" customHeight="1">
      <c r="B6" s="25" t="s">
        <v>65</v>
      </c>
      <c r="C6" s="15"/>
      <c r="D6" s="16"/>
      <c r="E6" s="17"/>
      <c r="F6" s="49" t="s">
        <v>71</v>
      </c>
      <c r="G6" s="50" t="s">
        <v>69</v>
      </c>
      <c r="H6" s="50"/>
      <c r="I6" s="19"/>
      <c r="J6" s="19"/>
      <c r="K6" s="20"/>
    </row>
    <row r="7" spans="1:23" s="21" customFormat="1" ht="21" customHeight="1">
      <c r="B7" s="25" t="s">
        <v>66</v>
      </c>
      <c r="C7" s="15"/>
      <c r="D7" s="16"/>
      <c r="E7" s="17"/>
      <c r="F7" s="49" t="s">
        <v>72</v>
      </c>
      <c r="G7" s="56" t="s">
        <v>3</v>
      </c>
      <c r="H7" s="56"/>
      <c r="I7" s="19"/>
      <c r="J7" s="19"/>
      <c r="K7" s="20"/>
    </row>
    <row r="8" spans="1:23" s="21" customFormat="1" ht="21" customHeight="1">
      <c r="B8" s="25" t="s">
        <v>67</v>
      </c>
      <c r="C8" s="25"/>
      <c r="D8" s="25"/>
      <c r="E8" s="17"/>
      <c r="F8" s="49" t="s">
        <v>81</v>
      </c>
      <c r="G8" s="57" t="s">
        <v>82</v>
      </c>
      <c r="H8" s="57"/>
      <c r="I8" s="19"/>
      <c r="J8" s="19"/>
      <c r="K8" s="20"/>
    </row>
    <row r="9" spans="1:23" s="21" customFormat="1" ht="21">
      <c r="B9" s="25"/>
      <c r="C9" s="25"/>
      <c r="D9" s="25"/>
      <c r="E9" s="17"/>
      <c r="F9" s="49"/>
      <c r="G9" s="51"/>
      <c r="H9" s="51"/>
      <c r="I9" s="19"/>
      <c r="J9" s="19"/>
      <c r="K9" s="20"/>
    </row>
    <row r="10" spans="1:23" s="22" customFormat="1" ht="21">
      <c r="A10" s="38" t="s">
        <v>0</v>
      </c>
      <c r="B10" s="38" t="s">
        <v>70</v>
      </c>
      <c r="C10" s="38" t="s">
        <v>30</v>
      </c>
      <c r="D10" s="38" t="s">
        <v>4</v>
      </c>
      <c r="E10" s="38" t="s">
        <v>5</v>
      </c>
      <c r="F10" s="38" t="s">
        <v>6</v>
      </c>
      <c r="G10" s="38" t="s">
        <v>7</v>
      </c>
      <c r="H10" s="38" t="s">
        <v>8</v>
      </c>
      <c r="P10" s="21"/>
      <c r="Q10" s="21"/>
      <c r="R10" s="21"/>
      <c r="S10" s="21"/>
      <c r="T10" s="21"/>
    </row>
    <row r="11" spans="1:23" s="21" customFormat="1" ht="21">
      <c r="A11" s="38">
        <v>1</v>
      </c>
      <c r="B11" s="39" t="s">
        <v>15</v>
      </c>
      <c r="C11" s="46" t="s">
        <v>53</v>
      </c>
      <c r="D11" s="41"/>
      <c r="E11" s="42" t="s">
        <v>1</v>
      </c>
      <c r="F11" s="43">
        <v>220</v>
      </c>
      <c r="G11" s="44">
        <f>D11*F11</f>
        <v>0</v>
      </c>
      <c r="H11" s="38" t="s">
        <v>44</v>
      </c>
      <c r="I11" s="23"/>
      <c r="J11" s="23"/>
      <c r="K11" s="20"/>
    </row>
    <row r="12" spans="1:23" s="21" customFormat="1" ht="21">
      <c r="A12" s="38"/>
      <c r="B12" s="39" t="s">
        <v>96</v>
      </c>
      <c r="C12" s="46" t="s">
        <v>53</v>
      </c>
      <c r="D12" s="41"/>
      <c r="E12" s="42" t="s">
        <v>1</v>
      </c>
      <c r="F12" s="43">
        <v>25</v>
      </c>
      <c r="G12" s="44">
        <f t="shared" ref="G12:G31" si="0">D12*F12</f>
        <v>0</v>
      </c>
      <c r="H12" s="38" t="s">
        <v>44</v>
      </c>
      <c r="I12" s="23"/>
      <c r="J12" s="23"/>
      <c r="K12" s="20"/>
    </row>
    <row r="13" spans="1:23" s="21" customFormat="1" ht="21">
      <c r="A13" s="38"/>
      <c r="B13" s="39" t="s">
        <v>17</v>
      </c>
      <c r="C13" s="46"/>
      <c r="D13" s="41"/>
      <c r="E13" s="42" t="s">
        <v>43</v>
      </c>
      <c r="F13" s="43">
        <v>25</v>
      </c>
      <c r="G13" s="44">
        <f t="shared" si="0"/>
        <v>0</v>
      </c>
      <c r="H13" s="38" t="s">
        <v>44</v>
      </c>
      <c r="I13" s="23"/>
      <c r="J13" s="23"/>
      <c r="K13" s="20"/>
    </row>
    <row r="14" spans="1:23" s="21" customFormat="1" ht="21">
      <c r="A14" s="38"/>
      <c r="B14" s="39" t="s">
        <v>18</v>
      </c>
      <c r="C14" s="46"/>
      <c r="D14" s="41"/>
      <c r="E14" s="42" t="s">
        <v>43</v>
      </c>
      <c r="F14" s="43">
        <v>30</v>
      </c>
      <c r="G14" s="44">
        <f t="shared" si="0"/>
        <v>0</v>
      </c>
      <c r="H14" s="38" t="s">
        <v>44</v>
      </c>
      <c r="I14" s="23"/>
      <c r="J14" s="23"/>
      <c r="K14" s="20"/>
    </row>
    <row r="15" spans="1:23" s="21" customFormat="1" ht="21">
      <c r="A15" s="38">
        <v>2</v>
      </c>
      <c r="B15" s="46" t="s">
        <v>19</v>
      </c>
      <c r="C15" s="46" t="s">
        <v>31</v>
      </c>
      <c r="D15" s="41"/>
      <c r="E15" s="42" t="s">
        <v>1</v>
      </c>
      <c r="F15" s="43">
        <v>40</v>
      </c>
      <c r="G15" s="44">
        <f t="shared" si="0"/>
        <v>0</v>
      </c>
      <c r="H15" s="38" t="s">
        <v>44</v>
      </c>
      <c r="I15" s="23"/>
      <c r="J15" s="23"/>
      <c r="K15" s="20"/>
    </row>
    <row r="16" spans="1:23" s="21" customFormat="1" ht="21">
      <c r="A16" s="38">
        <v>3</v>
      </c>
      <c r="B16" s="46" t="s">
        <v>46</v>
      </c>
      <c r="C16" s="46"/>
      <c r="D16" s="41"/>
      <c r="E16" s="42" t="s">
        <v>1</v>
      </c>
      <c r="F16" s="43">
        <v>70</v>
      </c>
      <c r="G16" s="44">
        <f t="shared" si="0"/>
        <v>0</v>
      </c>
      <c r="H16" s="38" t="s">
        <v>44</v>
      </c>
      <c r="I16" s="23"/>
      <c r="J16" s="23"/>
      <c r="K16" s="20"/>
    </row>
    <row r="17" spans="1:11" s="21" customFormat="1" ht="21">
      <c r="A17" s="38">
        <v>4</v>
      </c>
      <c r="B17" s="46" t="s">
        <v>9</v>
      </c>
      <c r="C17" s="46" t="s">
        <v>32</v>
      </c>
      <c r="D17" s="41"/>
      <c r="E17" s="42" t="s">
        <v>10</v>
      </c>
      <c r="F17" s="43">
        <v>700</v>
      </c>
      <c r="G17" s="44">
        <f t="shared" si="0"/>
        <v>0</v>
      </c>
      <c r="H17" s="38" t="s">
        <v>44</v>
      </c>
      <c r="I17" s="23"/>
      <c r="J17" s="23"/>
      <c r="K17" s="20"/>
    </row>
    <row r="18" spans="1:11" s="21" customFormat="1" ht="21">
      <c r="A18" s="38">
        <v>5</v>
      </c>
      <c r="B18" s="46" t="s">
        <v>20</v>
      </c>
      <c r="C18" s="46" t="s">
        <v>33</v>
      </c>
      <c r="D18" s="41"/>
      <c r="E18" s="42" t="s">
        <v>43</v>
      </c>
      <c r="F18" s="43">
        <v>350</v>
      </c>
      <c r="G18" s="44">
        <f t="shared" si="0"/>
        <v>0</v>
      </c>
      <c r="H18" s="38" t="s">
        <v>44</v>
      </c>
      <c r="I18" s="23"/>
      <c r="J18" s="23"/>
      <c r="K18" s="20"/>
    </row>
    <row r="19" spans="1:11" s="21" customFormat="1" ht="21">
      <c r="A19" s="38">
        <v>6</v>
      </c>
      <c r="B19" s="46" t="s">
        <v>21</v>
      </c>
      <c r="C19" s="46" t="s">
        <v>47</v>
      </c>
      <c r="D19" s="41"/>
      <c r="E19" s="42" t="s">
        <v>43</v>
      </c>
      <c r="F19" s="43">
        <v>120</v>
      </c>
      <c r="G19" s="44">
        <f t="shared" si="0"/>
        <v>0</v>
      </c>
      <c r="H19" s="38" t="s">
        <v>44</v>
      </c>
      <c r="I19" s="23"/>
      <c r="J19" s="23"/>
      <c r="K19" s="20"/>
    </row>
    <row r="20" spans="1:11" s="21" customFormat="1" ht="21">
      <c r="A20" s="38">
        <v>7</v>
      </c>
      <c r="B20" s="46" t="s">
        <v>22</v>
      </c>
      <c r="C20" s="46" t="s">
        <v>34</v>
      </c>
      <c r="D20" s="41"/>
      <c r="E20" s="42" t="s">
        <v>10</v>
      </c>
      <c r="F20" s="43">
        <v>350</v>
      </c>
      <c r="G20" s="44">
        <f t="shared" si="0"/>
        <v>0</v>
      </c>
      <c r="H20" s="38" t="s">
        <v>44</v>
      </c>
      <c r="I20" s="23"/>
      <c r="J20" s="23"/>
      <c r="K20" s="20"/>
    </row>
    <row r="21" spans="1:11" s="21" customFormat="1" ht="21">
      <c r="A21" s="38">
        <v>8</v>
      </c>
      <c r="B21" s="46" t="s">
        <v>23</v>
      </c>
      <c r="C21" s="46" t="s">
        <v>35</v>
      </c>
      <c r="D21" s="41"/>
      <c r="E21" s="42" t="s">
        <v>10</v>
      </c>
      <c r="F21" s="43">
        <v>800</v>
      </c>
      <c r="G21" s="44">
        <f t="shared" si="0"/>
        <v>0</v>
      </c>
      <c r="H21" s="38" t="s">
        <v>44</v>
      </c>
      <c r="I21" s="23"/>
      <c r="J21" s="23"/>
      <c r="K21" s="20"/>
    </row>
    <row r="22" spans="1:11" s="21" customFormat="1" ht="21">
      <c r="A22" s="38">
        <v>9</v>
      </c>
      <c r="B22" s="46" t="s">
        <v>24</v>
      </c>
      <c r="C22" s="46" t="s">
        <v>36</v>
      </c>
      <c r="D22" s="41"/>
      <c r="E22" s="42" t="s">
        <v>1</v>
      </c>
      <c r="F22" s="43">
        <v>50</v>
      </c>
      <c r="G22" s="44">
        <f t="shared" si="0"/>
        <v>0</v>
      </c>
      <c r="H22" s="38" t="s">
        <v>44</v>
      </c>
      <c r="I22" s="23"/>
      <c r="J22" s="23"/>
      <c r="K22" s="20"/>
    </row>
    <row r="23" spans="1:11" s="21" customFormat="1" ht="21">
      <c r="A23" s="38">
        <v>10</v>
      </c>
      <c r="B23" s="46" t="s">
        <v>25</v>
      </c>
      <c r="C23" s="46" t="s">
        <v>48</v>
      </c>
      <c r="D23" s="41"/>
      <c r="E23" s="42" t="s">
        <v>10</v>
      </c>
      <c r="F23" s="43">
        <v>400</v>
      </c>
      <c r="G23" s="44">
        <f t="shared" si="0"/>
        <v>0</v>
      </c>
      <c r="H23" s="38" t="s">
        <v>44</v>
      </c>
      <c r="I23" s="23"/>
      <c r="J23" s="23"/>
      <c r="K23" s="20"/>
    </row>
    <row r="24" spans="1:11" s="21" customFormat="1" ht="21">
      <c r="A24" s="38">
        <v>11</v>
      </c>
      <c r="B24" s="46" t="s">
        <v>26</v>
      </c>
      <c r="C24" s="46"/>
      <c r="D24" s="41"/>
      <c r="E24" s="42" t="s">
        <v>43</v>
      </c>
      <c r="F24" s="43">
        <v>800</v>
      </c>
      <c r="G24" s="44">
        <f t="shared" si="0"/>
        <v>0</v>
      </c>
      <c r="H24" s="38" t="s">
        <v>44</v>
      </c>
      <c r="I24" s="23"/>
      <c r="J24" s="23"/>
      <c r="K24" s="20"/>
    </row>
    <row r="25" spans="1:11" s="21" customFormat="1" ht="21">
      <c r="A25" s="38">
        <v>12</v>
      </c>
      <c r="B25" s="46" t="s">
        <v>27</v>
      </c>
      <c r="C25" s="46"/>
      <c r="D25" s="41"/>
      <c r="E25" s="42" t="s">
        <v>43</v>
      </c>
      <c r="F25" s="43">
        <v>200</v>
      </c>
      <c r="G25" s="44">
        <f t="shared" si="0"/>
        <v>0</v>
      </c>
      <c r="H25" s="38" t="s">
        <v>44</v>
      </c>
      <c r="I25" s="23"/>
      <c r="J25" s="23"/>
      <c r="K25" s="20"/>
    </row>
    <row r="26" spans="1:11" s="21" customFormat="1" ht="21">
      <c r="A26" s="38">
        <v>13</v>
      </c>
      <c r="B26" s="46" t="s">
        <v>49</v>
      </c>
      <c r="C26" s="46"/>
      <c r="D26" s="41"/>
      <c r="E26" s="42" t="s">
        <v>51</v>
      </c>
      <c r="F26" s="43">
        <v>30</v>
      </c>
      <c r="G26" s="44">
        <f t="shared" si="0"/>
        <v>0</v>
      </c>
      <c r="H26" s="38" t="s">
        <v>44</v>
      </c>
      <c r="I26" s="23"/>
      <c r="J26" s="23"/>
      <c r="K26" s="20"/>
    </row>
    <row r="27" spans="1:11" s="21" customFormat="1" ht="21">
      <c r="A27" s="38">
        <v>14</v>
      </c>
      <c r="B27" s="46" t="s">
        <v>50</v>
      </c>
      <c r="C27" s="46"/>
      <c r="D27" s="41"/>
      <c r="E27" s="42" t="s">
        <v>51</v>
      </c>
      <c r="F27" s="43">
        <v>50</v>
      </c>
      <c r="G27" s="44">
        <f t="shared" si="0"/>
        <v>0</v>
      </c>
      <c r="H27" s="38" t="s">
        <v>44</v>
      </c>
      <c r="I27" s="23"/>
      <c r="J27" s="23"/>
      <c r="K27" s="20"/>
    </row>
    <row r="28" spans="1:11" s="21" customFormat="1" ht="21">
      <c r="A28" s="38">
        <v>15</v>
      </c>
      <c r="B28" s="46" t="s">
        <v>52</v>
      </c>
      <c r="C28" s="46"/>
      <c r="D28" s="41"/>
      <c r="E28" s="42" t="s">
        <v>51</v>
      </c>
      <c r="F28" s="43">
        <v>80</v>
      </c>
      <c r="G28" s="44">
        <f t="shared" si="0"/>
        <v>0</v>
      </c>
      <c r="H28" s="38" t="s">
        <v>44</v>
      </c>
      <c r="I28" s="23"/>
      <c r="J28" s="23"/>
      <c r="K28" s="20"/>
    </row>
    <row r="29" spans="1:11" s="21" customFormat="1" ht="21">
      <c r="A29" s="38">
        <v>16</v>
      </c>
      <c r="B29" s="46" t="s">
        <v>28</v>
      </c>
      <c r="C29" s="46"/>
      <c r="D29" s="41"/>
      <c r="E29" s="42" t="s">
        <v>11</v>
      </c>
      <c r="F29" s="43">
        <v>3500</v>
      </c>
      <c r="G29" s="44">
        <f t="shared" si="0"/>
        <v>0</v>
      </c>
      <c r="H29" s="38" t="s">
        <v>44</v>
      </c>
      <c r="I29" s="23"/>
      <c r="J29" s="23"/>
      <c r="K29" s="20"/>
    </row>
    <row r="30" spans="1:11" s="21" customFormat="1" ht="21">
      <c r="A30" s="38">
        <v>17</v>
      </c>
      <c r="B30" s="46" t="s">
        <v>29</v>
      </c>
      <c r="C30" s="46"/>
      <c r="D30" s="41"/>
      <c r="E30" s="42" t="s">
        <v>2</v>
      </c>
      <c r="F30" s="43">
        <v>35000</v>
      </c>
      <c r="G30" s="44">
        <f t="shared" si="0"/>
        <v>0</v>
      </c>
      <c r="H30" s="38" t="s">
        <v>44</v>
      </c>
      <c r="I30" s="23"/>
      <c r="J30" s="23"/>
      <c r="K30" s="20"/>
    </row>
    <row r="31" spans="1:11" s="21" customFormat="1" ht="21">
      <c r="A31" s="38">
        <v>18</v>
      </c>
      <c r="B31" s="46" t="s">
        <v>55</v>
      </c>
      <c r="C31" s="46"/>
      <c r="D31" s="41"/>
      <c r="E31" s="42" t="s">
        <v>56</v>
      </c>
      <c r="F31" s="43">
        <v>2000</v>
      </c>
      <c r="G31" s="44">
        <f t="shared" si="0"/>
        <v>0</v>
      </c>
      <c r="H31" s="38" t="s">
        <v>44</v>
      </c>
      <c r="I31" s="23"/>
      <c r="J31" s="23"/>
      <c r="K31" s="20"/>
    </row>
    <row r="32" spans="1:11" s="21" customFormat="1" ht="21">
      <c r="A32" s="38"/>
      <c r="B32" s="38" t="s">
        <v>12</v>
      </c>
      <c r="C32" s="38"/>
      <c r="D32" s="48"/>
      <c r="E32" s="48"/>
      <c r="F32" s="48"/>
      <c r="G32" s="44">
        <f>SUM(G11:G31)</f>
        <v>0</v>
      </c>
      <c r="H32" s="42"/>
      <c r="I32" s="23"/>
      <c r="J32" s="23"/>
      <c r="K32" s="24"/>
    </row>
    <row r="33" spans="1:17" s="21" customFormat="1" ht="21">
      <c r="A33" s="14"/>
      <c r="B33" s="14"/>
      <c r="C33" s="14"/>
      <c r="D33" s="25"/>
      <c r="E33" s="25"/>
      <c r="F33" s="13" t="s">
        <v>42</v>
      </c>
      <c r="G33" s="37">
        <f>SUM(G11:G31)</f>
        <v>0</v>
      </c>
      <c r="H33" s="13"/>
      <c r="I33" s="23"/>
      <c r="J33" s="22"/>
      <c r="K33" s="22"/>
    </row>
    <row r="34" spans="1:17" s="21" customFormat="1" ht="21">
      <c r="A34" s="14"/>
      <c r="B34" s="14"/>
      <c r="C34" s="14"/>
      <c r="D34" s="25"/>
      <c r="E34" s="25"/>
      <c r="F34" s="13" t="s">
        <v>40</v>
      </c>
      <c r="G34" s="37">
        <f>G33*5%</f>
        <v>0</v>
      </c>
      <c r="H34" s="13"/>
      <c r="I34" s="23"/>
      <c r="J34" s="22"/>
      <c r="K34" s="22"/>
    </row>
    <row r="35" spans="1:17" s="21" customFormat="1" ht="21.75" thickBot="1">
      <c r="A35" s="14"/>
      <c r="B35" s="14"/>
      <c r="C35" s="14"/>
      <c r="D35" s="25"/>
      <c r="E35" s="25"/>
      <c r="F35" s="52" t="s">
        <v>41</v>
      </c>
      <c r="G35" s="53">
        <f>G33+G34</f>
        <v>0</v>
      </c>
      <c r="H35" s="13"/>
      <c r="I35" s="23"/>
      <c r="J35" s="22"/>
      <c r="K35" s="22"/>
    </row>
    <row r="36" spans="1:17" s="21" customFormat="1" ht="21">
      <c r="A36" s="25" t="s">
        <v>13</v>
      </c>
      <c r="B36" s="14"/>
      <c r="C36" s="14"/>
      <c r="D36" s="25"/>
      <c r="E36" s="25"/>
      <c r="F36" s="25"/>
      <c r="G36" s="25"/>
      <c r="H36" s="13"/>
      <c r="I36" s="22"/>
      <c r="J36" s="22"/>
      <c r="K36" s="22"/>
      <c r="L36" s="26"/>
      <c r="O36" s="27"/>
      <c r="Q36" s="28"/>
    </row>
    <row r="37" spans="1:17" s="21" customFormat="1" ht="21" customHeight="1">
      <c r="A37" s="54" t="s">
        <v>57</v>
      </c>
      <c r="B37" s="25" t="s">
        <v>78</v>
      </c>
      <c r="C37" s="25"/>
      <c r="D37" s="25"/>
      <c r="E37" s="25"/>
      <c r="F37" s="25"/>
      <c r="G37" s="25"/>
      <c r="H37" s="25"/>
      <c r="I37" s="22"/>
      <c r="J37" s="22"/>
      <c r="K37" s="22"/>
      <c r="L37" s="26"/>
      <c r="O37" s="27"/>
      <c r="Q37" s="28"/>
    </row>
    <row r="38" spans="1:17" s="25" customFormat="1" ht="16.5" customHeight="1">
      <c r="A38" s="54"/>
      <c r="B38" s="25" t="s">
        <v>79</v>
      </c>
    </row>
    <row r="39" spans="1:17" s="25" customFormat="1" ht="16.5" customHeight="1">
      <c r="B39" s="25" t="s">
        <v>37</v>
      </c>
    </row>
    <row r="40" spans="1:17" s="25" customFormat="1" ht="21">
      <c r="B40" s="25" t="s">
        <v>39</v>
      </c>
    </row>
    <row r="41" spans="1:17" s="25" customFormat="1" ht="21">
      <c r="B41" s="25" t="s">
        <v>75</v>
      </c>
    </row>
    <row r="42" spans="1:17" s="25" customFormat="1" ht="21">
      <c r="B42" s="25" t="s">
        <v>38</v>
      </c>
    </row>
    <row r="43" spans="1:17" s="25" customFormat="1" ht="21">
      <c r="B43" s="25" t="s">
        <v>76</v>
      </c>
    </row>
    <row r="44" spans="1:17" s="25" customFormat="1" ht="21">
      <c r="B44" s="25" t="s">
        <v>77</v>
      </c>
    </row>
    <row r="45" spans="1:17" s="21" customFormat="1" ht="21">
      <c r="A45" s="25"/>
      <c r="B45" s="8"/>
      <c r="C45" s="8"/>
      <c r="D45" s="8"/>
      <c r="E45" s="8"/>
      <c r="F45" s="8"/>
      <c r="G45" s="8"/>
      <c r="H45" s="8"/>
      <c r="L45" s="36"/>
    </row>
    <row r="46" spans="1:17" s="21" customFormat="1" ht="21">
      <c r="A46" s="25"/>
      <c r="B46" s="29" t="s">
        <v>73</v>
      </c>
      <c r="C46" s="29"/>
      <c r="E46" s="29"/>
      <c r="F46" s="29" t="s">
        <v>74</v>
      </c>
      <c r="G46" s="29"/>
      <c r="H46" s="29"/>
      <c r="L46" s="36"/>
    </row>
    <row r="47" spans="1:17" s="21" customFormat="1" ht="21">
      <c r="A47" s="25"/>
      <c r="G47" s="29"/>
      <c r="H47" s="29"/>
      <c r="L47" s="36"/>
    </row>
    <row r="48" spans="1:17" s="21" customFormat="1" ht="21">
      <c r="A48" s="25"/>
      <c r="G48" s="29"/>
      <c r="H48" s="29"/>
      <c r="L48" s="36"/>
    </row>
    <row r="49" spans="1:12" s="21" customFormat="1" ht="21">
      <c r="A49" s="25"/>
      <c r="B49" s="29"/>
      <c r="C49" s="29"/>
      <c r="D49" s="29"/>
      <c r="E49" s="29"/>
      <c r="F49" s="29"/>
      <c r="G49" s="29"/>
      <c r="H49" s="29"/>
      <c r="L49" s="36"/>
    </row>
    <row r="50" spans="1:12" s="21" customFormat="1" ht="21">
      <c r="A50" s="25"/>
      <c r="B50" s="29"/>
      <c r="C50" s="29"/>
      <c r="D50" s="29"/>
      <c r="E50" s="29"/>
      <c r="F50" s="29"/>
      <c r="G50" s="29"/>
      <c r="H50" s="29" t="s">
        <v>83</v>
      </c>
      <c r="L50" s="36"/>
    </row>
    <row r="51" spans="1:12" s="21" customFormat="1" ht="21">
      <c r="A51" s="25"/>
      <c r="B51" s="29"/>
      <c r="C51" s="29"/>
      <c r="D51" s="29"/>
      <c r="E51" s="29"/>
      <c r="F51" s="29"/>
      <c r="G51" s="29"/>
      <c r="H51" s="29"/>
      <c r="L51" s="36"/>
    </row>
  </sheetData>
  <mergeCells count="5">
    <mergeCell ref="A37:A38"/>
    <mergeCell ref="D1:E1"/>
    <mergeCell ref="G7:H7"/>
    <mergeCell ref="G8:H8"/>
    <mergeCell ref="G4:H4"/>
  </mergeCells>
  <phoneticPr fontId="1" type="noConversion"/>
  <printOptions horizontalCentered="1"/>
  <pageMargins left="0.31496062992125984" right="0.11811023622047245" top="0" bottom="0.15748031496062992" header="0" footer="0"/>
  <pageSetup paperSize="9" scale="80" orientation="portrait" r:id="rId1"/>
  <headerFooter>
    <oddFooter>&amp;R&amp;G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777A1-71DA-41C3-959B-EA5CDA01E18E}">
  <sheetPr codeName="工作表7"/>
  <dimension ref="A1:W50"/>
  <sheetViews>
    <sheetView view="pageBreakPreview" topLeftCell="D34" zoomScale="115" zoomScaleNormal="100" zoomScaleSheetLayoutView="115" workbookViewId="0">
      <selection activeCell="H49" sqref="H49"/>
    </sheetView>
  </sheetViews>
  <sheetFormatPr defaultColWidth="9" defaultRowHeight="20.100000000000001" customHeight="1"/>
  <cols>
    <col min="1" max="1" width="5.5" style="4" customWidth="1"/>
    <col min="2" max="2" width="23.25" style="4" customWidth="1"/>
    <col min="3" max="3" width="17.75" style="4" customWidth="1"/>
    <col min="4" max="4" width="9.875" style="4" customWidth="1"/>
    <col min="5" max="5" width="5.75" style="4" customWidth="1"/>
    <col min="6" max="6" width="15" style="4" customWidth="1"/>
    <col min="7" max="7" width="13" style="4" customWidth="1"/>
    <col min="8" max="8" width="26.875" style="5" customWidth="1"/>
    <col min="9" max="9" width="13" style="5" customWidth="1"/>
    <col min="10" max="10" width="15.625" style="5" customWidth="1"/>
    <col min="11" max="11" width="13.625" style="5" customWidth="1"/>
    <col min="12" max="12" width="9.375" style="6" customWidth="1"/>
    <col min="13" max="13" width="5.75" style="4" customWidth="1"/>
    <col min="14" max="14" width="11.625" style="4" customWidth="1"/>
    <col min="15" max="16" width="9" style="4"/>
    <col min="17" max="17" width="12.75" style="4" bestFit="1" customWidth="1"/>
    <col min="18" max="20" width="9" style="4"/>
    <col min="21" max="21" width="13.5" style="4" customWidth="1"/>
    <col min="22" max="16384" width="9" style="4"/>
  </cols>
  <sheetData>
    <row r="1" spans="1:23" s="1" customFormat="1" ht="35.25" customHeight="1">
      <c r="A1" s="9"/>
      <c r="B1" s="10"/>
      <c r="C1" s="9"/>
      <c r="D1" s="55"/>
      <c r="E1" s="55"/>
      <c r="F1" s="11"/>
      <c r="G1" s="12"/>
      <c r="H1" s="12"/>
      <c r="I1" s="3"/>
      <c r="J1" s="2"/>
      <c r="L1" s="7"/>
      <c r="O1" s="4"/>
      <c r="P1" s="4"/>
      <c r="Q1" s="4"/>
      <c r="R1" s="4"/>
      <c r="S1" s="4"/>
      <c r="T1" s="4"/>
      <c r="U1" s="4"/>
      <c r="V1" s="4"/>
      <c r="W1" s="4"/>
    </row>
    <row r="2" spans="1:23" s="21" customFormat="1" ht="21">
      <c r="A2" s="13"/>
      <c r="B2" s="14"/>
      <c r="C2" s="15"/>
      <c r="D2" s="16"/>
      <c r="E2" s="17"/>
      <c r="F2" s="18"/>
      <c r="I2" s="19"/>
      <c r="J2" s="19"/>
      <c r="K2" s="20"/>
    </row>
    <row r="3" spans="1:23" s="21" customFormat="1" ht="28.5" customHeight="1">
      <c r="A3" s="13"/>
      <c r="B3" s="14"/>
      <c r="C3" s="15"/>
      <c r="D3" s="16"/>
      <c r="E3" s="17"/>
      <c r="F3" s="18"/>
      <c r="I3" s="19"/>
      <c r="J3" s="19"/>
      <c r="K3" s="20"/>
    </row>
    <row r="4" spans="1:23" s="21" customFormat="1" ht="21">
      <c r="B4" s="25" t="s">
        <v>63</v>
      </c>
      <c r="C4" s="15"/>
      <c r="D4" s="16"/>
      <c r="E4" s="17"/>
      <c r="F4" s="49" t="s">
        <v>62</v>
      </c>
      <c r="G4" s="58" t="s">
        <v>68</v>
      </c>
      <c r="H4" s="58"/>
      <c r="I4" s="19"/>
      <c r="J4" s="19"/>
      <c r="K4" s="20"/>
    </row>
    <row r="5" spans="1:23" s="21" customFormat="1" ht="21">
      <c r="B5" s="25" t="s">
        <v>64</v>
      </c>
      <c r="C5" s="15"/>
      <c r="D5" s="16"/>
      <c r="E5" s="17"/>
      <c r="F5" s="49" t="s">
        <v>14</v>
      </c>
      <c r="G5" s="50">
        <v>46205</v>
      </c>
      <c r="I5" s="19"/>
      <c r="J5" s="19"/>
      <c r="K5" s="20"/>
    </row>
    <row r="6" spans="1:23" s="21" customFormat="1" ht="21" customHeight="1">
      <c r="B6" s="25" t="s">
        <v>65</v>
      </c>
      <c r="C6" s="15"/>
      <c r="D6" s="16"/>
      <c r="E6" s="17"/>
      <c r="F6" s="49" t="s">
        <v>71</v>
      </c>
      <c r="G6" s="50" t="s">
        <v>69</v>
      </c>
      <c r="H6" s="50"/>
      <c r="I6" s="19"/>
      <c r="J6" s="19"/>
      <c r="K6" s="20"/>
    </row>
    <row r="7" spans="1:23" s="21" customFormat="1" ht="21" customHeight="1">
      <c r="B7" s="25" t="s">
        <v>66</v>
      </c>
      <c r="C7" s="15"/>
      <c r="D7" s="16"/>
      <c r="E7" s="17"/>
      <c r="F7" s="49" t="s">
        <v>72</v>
      </c>
      <c r="G7" s="56" t="s">
        <v>3</v>
      </c>
      <c r="H7" s="56"/>
      <c r="I7" s="19"/>
      <c r="J7" s="19"/>
      <c r="K7" s="20"/>
    </row>
    <row r="8" spans="1:23" s="21" customFormat="1" ht="21" customHeight="1">
      <c r="B8" s="25" t="s">
        <v>67</v>
      </c>
      <c r="C8" s="25"/>
      <c r="D8" s="25"/>
      <c r="E8" s="17"/>
      <c r="F8" s="49" t="s">
        <v>81</v>
      </c>
      <c r="G8" s="57" t="s">
        <v>82</v>
      </c>
      <c r="H8" s="57"/>
      <c r="I8" s="19"/>
      <c r="J8" s="19"/>
      <c r="K8" s="20"/>
    </row>
    <row r="9" spans="1:23" s="21" customFormat="1" ht="21">
      <c r="B9" s="25"/>
      <c r="C9" s="25"/>
      <c r="D9" s="25"/>
      <c r="E9" s="17"/>
      <c r="F9" s="49"/>
      <c r="G9" s="51"/>
      <c r="H9" s="51"/>
      <c r="I9" s="19"/>
      <c r="J9" s="19"/>
      <c r="K9" s="20"/>
    </row>
    <row r="10" spans="1:23" s="22" customFormat="1" ht="21">
      <c r="A10" s="38" t="s">
        <v>0</v>
      </c>
      <c r="B10" s="38" t="s">
        <v>70</v>
      </c>
      <c r="C10" s="38" t="s">
        <v>30</v>
      </c>
      <c r="D10" s="38" t="s">
        <v>4</v>
      </c>
      <c r="E10" s="38" t="s">
        <v>5</v>
      </c>
      <c r="F10" s="38" t="s">
        <v>6</v>
      </c>
      <c r="G10" s="38" t="s">
        <v>7</v>
      </c>
      <c r="H10" s="38" t="s">
        <v>8</v>
      </c>
      <c r="P10" s="21"/>
      <c r="Q10" s="21"/>
      <c r="R10" s="21"/>
      <c r="S10" s="21"/>
      <c r="T10" s="21"/>
    </row>
    <row r="11" spans="1:23" s="21" customFormat="1" ht="21">
      <c r="A11" s="38">
        <v>1</v>
      </c>
      <c r="B11" s="46" t="s">
        <v>15</v>
      </c>
      <c r="C11" s="46" t="s">
        <v>54</v>
      </c>
      <c r="D11" s="43"/>
      <c r="E11" s="42" t="s">
        <v>1</v>
      </c>
      <c r="F11" s="43">
        <v>180</v>
      </c>
      <c r="G11" s="44">
        <f>D11*F11</f>
        <v>0</v>
      </c>
      <c r="H11" s="45" t="s">
        <v>44</v>
      </c>
      <c r="I11" s="23"/>
      <c r="J11" s="23"/>
      <c r="K11" s="20"/>
    </row>
    <row r="12" spans="1:23" s="21" customFormat="1" ht="21">
      <c r="A12" s="38">
        <v>2</v>
      </c>
      <c r="B12" s="46" t="s">
        <v>16</v>
      </c>
      <c r="C12" s="46" t="s">
        <v>54</v>
      </c>
      <c r="D12" s="43"/>
      <c r="E12" s="42" t="s">
        <v>1</v>
      </c>
      <c r="F12" s="43">
        <v>20</v>
      </c>
      <c r="G12" s="44">
        <f t="shared" ref="G12:G30" si="0">D12*F12</f>
        <v>0</v>
      </c>
      <c r="H12" s="45" t="s">
        <v>44</v>
      </c>
      <c r="I12" s="23"/>
      <c r="J12" s="23"/>
      <c r="K12" s="20"/>
    </row>
    <row r="13" spans="1:23" s="21" customFormat="1" ht="21">
      <c r="A13" s="38">
        <v>3</v>
      </c>
      <c r="B13" s="46" t="s">
        <v>17</v>
      </c>
      <c r="C13" s="46" t="s">
        <v>45</v>
      </c>
      <c r="D13" s="43"/>
      <c r="E13" s="42" t="s">
        <v>43</v>
      </c>
      <c r="F13" s="43">
        <v>25</v>
      </c>
      <c r="G13" s="44">
        <f t="shared" si="0"/>
        <v>0</v>
      </c>
      <c r="H13" s="45" t="s">
        <v>44</v>
      </c>
      <c r="I13" s="23"/>
      <c r="J13" s="23"/>
      <c r="K13" s="20"/>
    </row>
    <row r="14" spans="1:23" s="21" customFormat="1" ht="21">
      <c r="A14" s="38">
        <v>4</v>
      </c>
      <c r="B14" s="46" t="s">
        <v>18</v>
      </c>
      <c r="C14" s="46"/>
      <c r="D14" s="43"/>
      <c r="E14" s="42" t="s">
        <v>43</v>
      </c>
      <c r="F14" s="43">
        <v>25</v>
      </c>
      <c r="G14" s="44">
        <f t="shared" si="0"/>
        <v>0</v>
      </c>
      <c r="H14" s="45" t="s">
        <v>44</v>
      </c>
      <c r="I14" s="23"/>
      <c r="J14" s="23"/>
      <c r="K14" s="20"/>
    </row>
    <row r="15" spans="1:23" s="21" customFormat="1" ht="21">
      <c r="A15" s="38">
        <v>5</v>
      </c>
      <c r="B15" s="46" t="s">
        <v>19</v>
      </c>
      <c r="C15" s="46" t="s">
        <v>31</v>
      </c>
      <c r="D15" s="43"/>
      <c r="E15" s="42" t="s">
        <v>1</v>
      </c>
      <c r="F15" s="43">
        <v>45</v>
      </c>
      <c r="G15" s="44">
        <f t="shared" si="0"/>
        <v>0</v>
      </c>
      <c r="H15" s="45" t="s">
        <v>44</v>
      </c>
      <c r="I15" s="23"/>
      <c r="J15" s="23"/>
      <c r="K15" s="20"/>
    </row>
    <row r="16" spans="1:23" s="21" customFormat="1" ht="21">
      <c r="A16" s="38">
        <v>6</v>
      </c>
      <c r="B16" s="46" t="s">
        <v>46</v>
      </c>
      <c r="C16" s="46" t="s">
        <v>31</v>
      </c>
      <c r="D16" s="43"/>
      <c r="E16" s="42" t="s">
        <v>1</v>
      </c>
      <c r="F16" s="43">
        <v>80</v>
      </c>
      <c r="G16" s="44">
        <f t="shared" si="0"/>
        <v>0</v>
      </c>
      <c r="H16" s="45" t="s">
        <v>44</v>
      </c>
      <c r="I16" s="23"/>
      <c r="J16" s="23"/>
      <c r="K16" s="20"/>
    </row>
    <row r="17" spans="1:11" s="21" customFormat="1" ht="21">
      <c r="A17" s="38">
        <v>7</v>
      </c>
      <c r="B17" s="46" t="s">
        <v>9</v>
      </c>
      <c r="C17" s="46" t="s">
        <v>32</v>
      </c>
      <c r="D17" s="43"/>
      <c r="E17" s="42" t="s">
        <v>10</v>
      </c>
      <c r="F17" s="43">
        <v>1000</v>
      </c>
      <c r="G17" s="44">
        <f t="shared" si="0"/>
        <v>0</v>
      </c>
      <c r="H17" s="45" t="s">
        <v>44</v>
      </c>
      <c r="I17" s="23"/>
      <c r="J17" s="23"/>
      <c r="K17" s="20"/>
    </row>
    <row r="18" spans="1:11" s="21" customFormat="1" ht="21">
      <c r="A18" s="38">
        <v>8</v>
      </c>
      <c r="B18" s="46" t="s">
        <v>20</v>
      </c>
      <c r="C18" s="46" t="s">
        <v>33</v>
      </c>
      <c r="D18" s="43"/>
      <c r="E18" s="42" t="s">
        <v>43</v>
      </c>
      <c r="F18" s="43">
        <v>350</v>
      </c>
      <c r="G18" s="44">
        <f t="shared" si="0"/>
        <v>0</v>
      </c>
      <c r="H18" s="45" t="s">
        <v>44</v>
      </c>
      <c r="I18" s="23"/>
      <c r="J18" s="23"/>
      <c r="K18" s="20"/>
    </row>
    <row r="19" spans="1:11" s="21" customFormat="1" ht="21">
      <c r="A19" s="38">
        <v>9</v>
      </c>
      <c r="B19" s="46" t="s">
        <v>21</v>
      </c>
      <c r="C19" s="46" t="s">
        <v>47</v>
      </c>
      <c r="D19" s="43"/>
      <c r="E19" s="42" t="s">
        <v>43</v>
      </c>
      <c r="F19" s="43">
        <v>150</v>
      </c>
      <c r="G19" s="44">
        <f t="shared" si="0"/>
        <v>0</v>
      </c>
      <c r="H19" s="45" t="s">
        <v>44</v>
      </c>
      <c r="I19" s="23"/>
      <c r="J19" s="23"/>
      <c r="K19" s="20"/>
    </row>
    <row r="20" spans="1:11" s="21" customFormat="1" ht="21">
      <c r="A20" s="38">
        <v>10</v>
      </c>
      <c r="B20" s="46" t="s">
        <v>22</v>
      </c>
      <c r="C20" s="46" t="s">
        <v>34</v>
      </c>
      <c r="D20" s="43"/>
      <c r="E20" s="42" t="s">
        <v>10</v>
      </c>
      <c r="F20" s="43">
        <v>350</v>
      </c>
      <c r="G20" s="44">
        <f t="shared" si="0"/>
        <v>0</v>
      </c>
      <c r="H20" s="45" t="s">
        <v>44</v>
      </c>
      <c r="I20" s="23"/>
      <c r="J20" s="23"/>
      <c r="K20" s="20"/>
    </row>
    <row r="21" spans="1:11" s="21" customFormat="1" ht="21">
      <c r="A21" s="38">
        <v>11</v>
      </c>
      <c r="B21" s="46" t="s">
        <v>23</v>
      </c>
      <c r="C21" s="46" t="s">
        <v>35</v>
      </c>
      <c r="D21" s="43"/>
      <c r="E21" s="42" t="s">
        <v>10</v>
      </c>
      <c r="F21" s="43">
        <v>800</v>
      </c>
      <c r="G21" s="44">
        <f t="shared" si="0"/>
        <v>0</v>
      </c>
      <c r="H21" s="45" t="s">
        <v>44</v>
      </c>
      <c r="I21" s="23"/>
      <c r="J21" s="23"/>
      <c r="K21" s="20"/>
    </row>
    <row r="22" spans="1:11" s="21" customFormat="1" ht="21">
      <c r="A22" s="38">
        <v>12</v>
      </c>
      <c r="B22" s="46" t="s">
        <v>24</v>
      </c>
      <c r="C22" s="46" t="s">
        <v>36</v>
      </c>
      <c r="D22" s="43"/>
      <c r="E22" s="42" t="s">
        <v>1</v>
      </c>
      <c r="F22" s="43">
        <v>50</v>
      </c>
      <c r="G22" s="44">
        <f t="shared" si="0"/>
        <v>0</v>
      </c>
      <c r="H22" s="45" t="s">
        <v>44</v>
      </c>
      <c r="I22" s="23"/>
      <c r="J22" s="23"/>
      <c r="K22" s="20"/>
    </row>
    <row r="23" spans="1:11" s="21" customFormat="1" ht="21">
      <c r="A23" s="38">
        <v>13</v>
      </c>
      <c r="B23" s="46" t="s">
        <v>25</v>
      </c>
      <c r="C23" s="46" t="s">
        <v>48</v>
      </c>
      <c r="D23" s="43"/>
      <c r="E23" s="42" t="s">
        <v>10</v>
      </c>
      <c r="F23" s="43">
        <v>400</v>
      </c>
      <c r="G23" s="44">
        <f t="shared" si="0"/>
        <v>0</v>
      </c>
      <c r="H23" s="45" t="s">
        <v>44</v>
      </c>
      <c r="I23" s="23"/>
      <c r="J23" s="23"/>
      <c r="K23" s="20"/>
    </row>
    <row r="24" spans="1:11" s="21" customFormat="1" ht="21">
      <c r="A24" s="38">
        <v>14</v>
      </c>
      <c r="B24" s="46" t="s">
        <v>26</v>
      </c>
      <c r="C24" s="46"/>
      <c r="D24" s="43"/>
      <c r="E24" s="42" t="s">
        <v>43</v>
      </c>
      <c r="F24" s="43">
        <v>700</v>
      </c>
      <c r="G24" s="44">
        <f t="shared" si="0"/>
        <v>0</v>
      </c>
      <c r="H24" s="45" t="s">
        <v>44</v>
      </c>
      <c r="I24" s="23"/>
      <c r="J24" s="23"/>
      <c r="K24" s="20"/>
    </row>
    <row r="25" spans="1:11" s="21" customFormat="1" ht="21">
      <c r="A25" s="38">
        <v>15</v>
      </c>
      <c r="B25" s="46" t="s">
        <v>27</v>
      </c>
      <c r="C25" s="46"/>
      <c r="D25" s="43"/>
      <c r="E25" s="42" t="s">
        <v>43</v>
      </c>
      <c r="F25" s="43">
        <v>140</v>
      </c>
      <c r="G25" s="44">
        <f t="shared" si="0"/>
        <v>0</v>
      </c>
      <c r="H25" s="45" t="s">
        <v>44</v>
      </c>
      <c r="I25" s="23"/>
      <c r="J25" s="23"/>
      <c r="K25" s="20"/>
    </row>
    <row r="26" spans="1:11" s="21" customFormat="1" ht="21">
      <c r="A26" s="38">
        <v>16</v>
      </c>
      <c r="B26" s="46" t="s">
        <v>49</v>
      </c>
      <c r="C26" s="46"/>
      <c r="D26" s="43"/>
      <c r="E26" s="42" t="s">
        <v>51</v>
      </c>
      <c r="F26" s="43">
        <v>30</v>
      </c>
      <c r="G26" s="44">
        <f t="shared" si="0"/>
        <v>0</v>
      </c>
      <c r="H26" s="45" t="s">
        <v>44</v>
      </c>
      <c r="I26" s="23"/>
      <c r="J26" s="23"/>
      <c r="K26" s="20"/>
    </row>
    <row r="27" spans="1:11" s="21" customFormat="1" ht="21">
      <c r="A27" s="38">
        <v>17</v>
      </c>
      <c r="B27" s="46" t="s">
        <v>50</v>
      </c>
      <c r="C27" s="46"/>
      <c r="D27" s="43"/>
      <c r="E27" s="42" t="s">
        <v>51</v>
      </c>
      <c r="F27" s="43">
        <v>50</v>
      </c>
      <c r="G27" s="44">
        <f t="shared" si="0"/>
        <v>0</v>
      </c>
      <c r="H27" s="45" t="s">
        <v>44</v>
      </c>
      <c r="I27" s="23"/>
      <c r="J27" s="23"/>
      <c r="K27" s="20"/>
    </row>
    <row r="28" spans="1:11" s="21" customFormat="1" ht="21">
      <c r="A28" s="38">
        <v>18</v>
      </c>
      <c r="B28" s="46" t="s">
        <v>52</v>
      </c>
      <c r="C28" s="46"/>
      <c r="D28" s="43"/>
      <c r="E28" s="42" t="s">
        <v>51</v>
      </c>
      <c r="F28" s="43">
        <v>80</v>
      </c>
      <c r="G28" s="44">
        <f t="shared" si="0"/>
        <v>0</v>
      </c>
      <c r="H28" s="45" t="s">
        <v>44</v>
      </c>
      <c r="I28" s="23"/>
      <c r="J28" s="23"/>
      <c r="K28" s="20"/>
    </row>
    <row r="29" spans="1:11" s="21" customFormat="1" ht="21">
      <c r="A29" s="38">
        <v>19</v>
      </c>
      <c r="B29" s="46" t="s">
        <v>28</v>
      </c>
      <c r="C29" s="46"/>
      <c r="D29" s="43"/>
      <c r="E29" s="42" t="s">
        <v>11</v>
      </c>
      <c r="F29" s="43">
        <v>3500</v>
      </c>
      <c r="G29" s="44">
        <f t="shared" si="0"/>
        <v>0</v>
      </c>
      <c r="H29" s="45" t="s">
        <v>44</v>
      </c>
      <c r="I29" s="23"/>
      <c r="J29" s="23"/>
      <c r="K29" s="20"/>
    </row>
    <row r="30" spans="1:11" s="21" customFormat="1" ht="21">
      <c r="A30" s="38">
        <v>20</v>
      </c>
      <c r="B30" s="46" t="s">
        <v>29</v>
      </c>
      <c r="C30" s="46"/>
      <c r="D30" s="43"/>
      <c r="E30" s="42" t="s">
        <v>2</v>
      </c>
      <c r="F30" s="43">
        <v>35000</v>
      </c>
      <c r="G30" s="44">
        <f t="shared" si="0"/>
        <v>0</v>
      </c>
      <c r="H30" s="45" t="s">
        <v>44</v>
      </c>
      <c r="I30" s="23"/>
      <c r="J30" s="23"/>
      <c r="K30" s="20"/>
    </row>
    <row r="31" spans="1:11" s="21" customFormat="1" ht="21">
      <c r="A31" s="38"/>
      <c r="B31" s="38" t="s">
        <v>12</v>
      </c>
      <c r="C31" s="38"/>
      <c r="D31" s="48"/>
      <c r="E31" s="48"/>
      <c r="F31" s="48"/>
      <c r="G31" s="44">
        <f>SUM(G11:G30)</f>
        <v>0</v>
      </c>
      <c r="H31" s="42"/>
      <c r="I31" s="23"/>
      <c r="J31" s="23"/>
      <c r="K31" s="24"/>
    </row>
    <row r="32" spans="1:11" s="21" customFormat="1" ht="21">
      <c r="A32" s="14"/>
      <c r="B32" s="14"/>
      <c r="C32" s="14"/>
      <c r="D32" s="25"/>
      <c r="E32" s="25"/>
      <c r="F32" s="13" t="s">
        <v>42</v>
      </c>
      <c r="G32" s="37">
        <f>SUM(G11:G30)</f>
        <v>0</v>
      </c>
      <c r="H32" s="13"/>
      <c r="I32" s="23"/>
      <c r="J32" s="22"/>
      <c r="K32" s="22"/>
    </row>
    <row r="33" spans="1:17" s="21" customFormat="1" ht="21">
      <c r="A33" s="14"/>
      <c r="B33" s="14"/>
      <c r="C33" s="14"/>
      <c r="D33" s="25"/>
      <c r="E33" s="25"/>
      <c r="F33" s="13" t="s">
        <v>40</v>
      </c>
      <c r="G33" s="37">
        <f>G32*5%</f>
        <v>0</v>
      </c>
      <c r="H33" s="13"/>
      <c r="I33" s="23"/>
      <c r="J33" s="22"/>
      <c r="K33" s="22"/>
    </row>
    <row r="34" spans="1:17" s="21" customFormat="1" ht="21.75" thickBot="1">
      <c r="A34" s="14"/>
      <c r="B34" s="14"/>
      <c r="C34" s="14"/>
      <c r="D34" s="25"/>
      <c r="E34" s="25"/>
      <c r="F34" s="52" t="s">
        <v>41</v>
      </c>
      <c r="G34" s="53">
        <f>G32+G33</f>
        <v>0</v>
      </c>
      <c r="H34" s="13"/>
      <c r="I34" s="23"/>
      <c r="J34" s="22"/>
      <c r="K34" s="22"/>
    </row>
    <row r="35" spans="1:17" s="21" customFormat="1" ht="21">
      <c r="A35" s="25" t="s">
        <v>13</v>
      </c>
      <c r="B35" s="14"/>
      <c r="C35" s="14"/>
      <c r="D35" s="25"/>
      <c r="E35" s="25"/>
      <c r="F35" s="25"/>
      <c r="G35" s="25"/>
      <c r="H35" s="13"/>
      <c r="I35" s="22"/>
      <c r="J35" s="22"/>
      <c r="K35" s="22"/>
      <c r="L35" s="26"/>
      <c r="O35" s="27"/>
      <c r="Q35" s="28"/>
    </row>
    <row r="36" spans="1:17" s="21" customFormat="1" ht="21" customHeight="1">
      <c r="A36" s="54" t="s">
        <v>57</v>
      </c>
      <c r="B36" s="25" t="s">
        <v>78</v>
      </c>
      <c r="C36" s="25"/>
      <c r="D36" s="25"/>
      <c r="E36" s="25"/>
      <c r="F36" s="25"/>
      <c r="G36" s="25"/>
      <c r="H36" s="25"/>
      <c r="I36" s="22"/>
      <c r="J36" s="22"/>
      <c r="K36" s="22"/>
      <c r="L36" s="26"/>
      <c r="O36" s="27"/>
      <c r="Q36" s="28"/>
    </row>
    <row r="37" spans="1:17" s="25" customFormat="1" ht="16.5" customHeight="1">
      <c r="A37" s="54"/>
      <c r="B37" s="25" t="s">
        <v>79</v>
      </c>
    </row>
    <row r="38" spans="1:17" s="25" customFormat="1" ht="16.5" customHeight="1">
      <c r="B38" s="25" t="s">
        <v>37</v>
      </c>
    </row>
    <row r="39" spans="1:17" s="25" customFormat="1" ht="21">
      <c r="B39" s="25" t="s">
        <v>39</v>
      </c>
    </row>
    <row r="40" spans="1:17" s="25" customFormat="1" ht="21">
      <c r="B40" s="25" t="s">
        <v>75</v>
      </c>
    </row>
    <row r="41" spans="1:17" s="25" customFormat="1" ht="21">
      <c r="B41" s="25" t="s">
        <v>38</v>
      </c>
    </row>
    <row r="42" spans="1:17" s="25" customFormat="1" ht="21">
      <c r="B42" s="25" t="s">
        <v>76</v>
      </c>
    </row>
    <row r="43" spans="1:17" s="25" customFormat="1" ht="21">
      <c r="B43" s="25" t="s">
        <v>77</v>
      </c>
    </row>
    <row r="44" spans="1:17" s="21" customFormat="1" ht="21">
      <c r="A44" s="25"/>
      <c r="B44" s="8"/>
      <c r="C44" s="8"/>
      <c r="D44" s="8"/>
      <c r="E44" s="8"/>
      <c r="F44" s="8"/>
      <c r="G44" s="8"/>
      <c r="H44" s="8"/>
      <c r="L44" s="36"/>
    </row>
    <row r="45" spans="1:17" s="21" customFormat="1" ht="21">
      <c r="A45" s="25"/>
      <c r="B45" s="29" t="s">
        <v>73</v>
      </c>
      <c r="C45" s="29"/>
      <c r="E45" s="29"/>
      <c r="F45" s="29" t="s">
        <v>74</v>
      </c>
      <c r="G45" s="29"/>
      <c r="H45" s="29"/>
      <c r="L45" s="36"/>
    </row>
    <row r="46" spans="1:17" s="21" customFormat="1" ht="21">
      <c r="A46" s="25"/>
      <c r="G46" s="29"/>
      <c r="H46" s="29"/>
      <c r="L46" s="36"/>
    </row>
    <row r="47" spans="1:17" s="21" customFormat="1" ht="21">
      <c r="A47" s="25"/>
      <c r="G47" s="29"/>
      <c r="H47" s="29"/>
      <c r="L47" s="36"/>
    </row>
    <row r="48" spans="1:17" s="21" customFormat="1" ht="21">
      <c r="A48" s="25"/>
      <c r="B48" s="29"/>
      <c r="C48" s="29"/>
      <c r="D48" s="29"/>
      <c r="E48" s="29"/>
      <c r="F48" s="29"/>
      <c r="G48" s="29"/>
      <c r="H48" s="29"/>
      <c r="L48" s="36"/>
    </row>
    <row r="49" spans="1:12" s="21" customFormat="1" ht="21">
      <c r="A49" s="25"/>
      <c r="B49" s="29"/>
      <c r="C49" s="29"/>
      <c r="D49" s="29"/>
      <c r="E49" s="29"/>
      <c r="F49" s="29"/>
      <c r="G49" s="29"/>
      <c r="H49" s="29" t="s">
        <v>83</v>
      </c>
      <c r="L49" s="36"/>
    </row>
    <row r="50" spans="1:12" s="21" customFormat="1" ht="21">
      <c r="A50" s="25"/>
      <c r="B50" s="29"/>
      <c r="C50" s="29"/>
      <c r="D50" s="29"/>
      <c r="E50" s="29"/>
      <c r="F50" s="29"/>
      <c r="G50" s="29"/>
      <c r="H50" s="29"/>
      <c r="L50" s="36"/>
    </row>
  </sheetData>
  <mergeCells count="5">
    <mergeCell ref="D1:E1"/>
    <mergeCell ref="G7:H7"/>
    <mergeCell ref="G8:H8"/>
    <mergeCell ref="A36:A37"/>
    <mergeCell ref="G4:H4"/>
  </mergeCells>
  <phoneticPr fontId="1" type="noConversion"/>
  <printOptions horizontalCentered="1"/>
  <pageMargins left="0.31496062992125984" right="0.11811023622047245" top="0" bottom="0.15748031496062992" header="0" footer="0"/>
  <pageSetup paperSize="9" scale="80" orientation="portrait" r:id="rId1"/>
  <headerFooter>
    <oddFooter>&amp;R&amp;G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AF841-8CFE-4671-A66D-46F7D84978A1}">
  <sheetPr codeName="工作表5"/>
  <dimension ref="A1:W41"/>
  <sheetViews>
    <sheetView view="pageBreakPreview" topLeftCell="A34" zoomScaleNormal="100" zoomScaleSheetLayoutView="100" workbookViewId="0">
      <selection activeCell="H40" sqref="H40"/>
    </sheetView>
  </sheetViews>
  <sheetFormatPr defaultColWidth="9" defaultRowHeight="20.100000000000001" customHeight="1"/>
  <cols>
    <col min="1" max="1" width="5.5" style="4" customWidth="1"/>
    <col min="2" max="2" width="23.25" style="4" customWidth="1"/>
    <col min="3" max="3" width="17.75" style="4" customWidth="1"/>
    <col min="4" max="4" width="9.875" style="4" customWidth="1"/>
    <col min="5" max="5" width="5.75" style="4" customWidth="1"/>
    <col min="6" max="6" width="15" style="4" customWidth="1"/>
    <col min="7" max="7" width="13" style="4" customWidth="1"/>
    <col min="8" max="8" width="26.875" style="5" customWidth="1"/>
    <col min="9" max="9" width="13" style="5" customWidth="1"/>
    <col min="10" max="10" width="15.625" style="5" customWidth="1"/>
    <col min="11" max="11" width="13.625" style="5" customWidth="1"/>
    <col min="12" max="12" width="9.375" style="6" customWidth="1"/>
    <col min="13" max="13" width="5.75" style="4" customWidth="1"/>
    <col min="14" max="14" width="11.625" style="4" customWidth="1"/>
    <col min="15" max="16" width="9" style="4"/>
    <col min="17" max="17" width="12.75" style="4" bestFit="1" customWidth="1"/>
    <col min="18" max="20" width="9" style="4"/>
    <col min="21" max="21" width="13.5" style="4" customWidth="1"/>
    <col min="22" max="16384" width="9" style="4"/>
  </cols>
  <sheetData>
    <row r="1" spans="1:23" s="1" customFormat="1" ht="35.25" customHeight="1">
      <c r="A1" s="9"/>
      <c r="B1" s="10"/>
      <c r="C1" s="9"/>
      <c r="D1" s="55"/>
      <c r="E1" s="55"/>
      <c r="F1" s="11"/>
      <c r="G1" s="12"/>
      <c r="H1" s="12"/>
      <c r="I1" s="3"/>
      <c r="J1" s="2"/>
      <c r="L1" s="7"/>
      <c r="O1" s="4"/>
      <c r="P1" s="4"/>
      <c r="Q1" s="4"/>
      <c r="R1" s="4"/>
      <c r="S1" s="4"/>
      <c r="T1" s="4"/>
      <c r="U1" s="4"/>
      <c r="V1" s="4"/>
      <c r="W1" s="4"/>
    </row>
    <row r="2" spans="1:23" s="21" customFormat="1" ht="21">
      <c r="A2" s="13"/>
      <c r="B2" s="14"/>
      <c r="C2" s="15"/>
      <c r="D2" s="16"/>
      <c r="E2" s="17"/>
      <c r="F2" s="18"/>
      <c r="I2" s="19"/>
      <c r="J2" s="19"/>
      <c r="K2" s="20"/>
    </row>
    <row r="3" spans="1:23" s="21" customFormat="1" ht="28.5" customHeight="1">
      <c r="A3" s="13"/>
      <c r="B3" s="14"/>
      <c r="C3" s="15"/>
      <c r="D3" s="16"/>
      <c r="E3" s="17"/>
      <c r="F3" s="18"/>
      <c r="I3" s="19"/>
      <c r="J3" s="19"/>
      <c r="K3" s="20"/>
    </row>
    <row r="4" spans="1:23" s="21" customFormat="1" ht="21">
      <c r="B4" s="25" t="s">
        <v>63</v>
      </c>
      <c r="C4" s="15"/>
      <c r="D4" s="16"/>
      <c r="E4" s="17"/>
      <c r="F4" s="49" t="s">
        <v>62</v>
      </c>
      <c r="G4" s="58" t="s">
        <v>68</v>
      </c>
      <c r="H4" s="58"/>
      <c r="I4" s="19"/>
      <c r="J4" s="19"/>
      <c r="K4" s="20"/>
    </row>
    <row r="5" spans="1:23" s="21" customFormat="1" ht="21">
      <c r="B5" s="25" t="s">
        <v>64</v>
      </c>
      <c r="C5" s="15"/>
      <c r="D5" s="16"/>
      <c r="E5" s="17"/>
      <c r="F5" s="49" t="s">
        <v>14</v>
      </c>
      <c r="G5" s="50">
        <v>46205</v>
      </c>
      <c r="I5" s="19"/>
      <c r="J5" s="19"/>
      <c r="K5" s="20"/>
    </row>
    <row r="6" spans="1:23" s="21" customFormat="1" ht="21" customHeight="1">
      <c r="B6" s="25" t="s">
        <v>65</v>
      </c>
      <c r="C6" s="15"/>
      <c r="D6" s="16"/>
      <c r="E6" s="17"/>
      <c r="F6" s="49" t="s">
        <v>71</v>
      </c>
      <c r="G6" s="50" t="s">
        <v>69</v>
      </c>
      <c r="H6" s="50"/>
      <c r="I6" s="19"/>
      <c r="J6" s="19"/>
      <c r="K6" s="20"/>
    </row>
    <row r="7" spans="1:23" s="21" customFormat="1" ht="21" customHeight="1">
      <c r="B7" s="25" t="s">
        <v>66</v>
      </c>
      <c r="C7" s="15"/>
      <c r="D7" s="16"/>
      <c r="E7" s="17"/>
      <c r="F7" s="49" t="s">
        <v>72</v>
      </c>
      <c r="G7" s="56" t="s">
        <v>3</v>
      </c>
      <c r="H7" s="56"/>
      <c r="I7" s="19"/>
      <c r="J7" s="19"/>
      <c r="K7" s="20"/>
    </row>
    <row r="8" spans="1:23" s="21" customFormat="1" ht="21" customHeight="1">
      <c r="B8" s="25" t="s">
        <v>67</v>
      </c>
      <c r="C8" s="25"/>
      <c r="D8" s="25"/>
      <c r="E8" s="17"/>
      <c r="F8" s="49" t="s">
        <v>81</v>
      </c>
      <c r="G8" s="57" t="s">
        <v>82</v>
      </c>
      <c r="H8" s="57"/>
      <c r="I8" s="19"/>
      <c r="J8" s="19"/>
      <c r="K8" s="20"/>
    </row>
    <row r="9" spans="1:23" s="21" customFormat="1" ht="21">
      <c r="B9" s="25"/>
      <c r="C9" s="25"/>
      <c r="D9" s="25"/>
      <c r="E9" s="17"/>
      <c r="F9" s="49"/>
      <c r="G9" s="51"/>
      <c r="H9" s="51"/>
      <c r="I9" s="19"/>
      <c r="J9" s="19"/>
      <c r="K9" s="20"/>
    </row>
    <row r="10" spans="1:23" s="22" customFormat="1" ht="21">
      <c r="A10" s="38" t="s">
        <v>0</v>
      </c>
      <c r="B10" s="38" t="s">
        <v>70</v>
      </c>
      <c r="C10" s="38" t="s">
        <v>30</v>
      </c>
      <c r="D10" s="38" t="s">
        <v>4</v>
      </c>
      <c r="E10" s="38" t="s">
        <v>5</v>
      </c>
      <c r="F10" s="38" t="s">
        <v>6</v>
      </c>
      <c r="G10" s="38" t="s">
        <v>7</v>
      </c>
      <c r="H10" s="38" t="s">
        <v>8</v>
      </c>
      <c r="P10" s="21"/>
      <c r="Q10" s="21"/>
      <c r="R10" s="21"/>
      <c r="S10" s="21"/>
      <c r="T10" s="21"/>
    </row>
    <row r="11" spans="1:23" s="21" customFormat="1" ht="21">
      <c r="A11" s="38">
        <v>1</v>
      </c>
      <c r="B11" s="39"/>
      <c r="C11" s="40"/>
      <c r="D11" s="41"/>
      <c r="E11" s="42"/>
      <c r="F11" s="43"/>
      <c r="G11" s="44">
        <f>D11*F11</f>
        <v>0</v>
      </c>
      <c r="H11" s="45"/>
      <c r="I11" s="19"/>
      <c r="J11" s="19"/>
      <c r="K11" s="20"/>
    </row>
    <row r="12" spans="1:23" s="21" customFormat="1" ht="21">
      <c r="A12" s="38">
        <v>2</v>
      </c>
      <c r="B12" s="39"/>
      <c r="C12" s="40"/>
      <c r="D12" s="41"/>
      <c r="E12" s="42"/>
      <c r="F12" s="43"/>
      <c r="G12" s="44">
        <f t="shared" ref="G12:G23" si="0">D12*F12</f>
        <v>0</v>
      </c>
      <c r="H12" s="45"/>
      <c r="I12" s="19"/>
      <c r="J12" s="19"/>
      <c r="K12" s="20"/>
    </row>
    <row r="13" spans="1:23" s="21" customFormat="1" ht="21">
      <c r="A13" s="38">
        <v>3</v>
      </c>
      <c r="B13" s="39"/>
      <c r="C13" s="40"/>
      <c r="D13" s="41"/>
      <c r="E13" s="42"/>
      <c r="F13" s="43"/>
      <c r="G13" s="44">
        <f t="shared" si="0"/>
        <v>0</v>
      </c>
      <c r="H13" s="45"/>
      <c r="I13" s="19"/>
      <c r="J13" s="19"/>
      <c r="K13" s="20"/>
    </row>
    <row r="14" spans="1:23" s="21" customFormat="1" ht="21">
      <c r="A14" s="38">
        <v>4</v>
      </c>
      <c r="B14" s="39"/>
      <c r="C14" s="40"/>
      <c r="D14" s="41"/>
      <c r="E14" s="42"/>
      <c r="F14" s="43"/>
      <c r="G14" s="44">
        <f t="shared" si="0"/>
        <v>0</v>
      </c>
      <c r="H14" s="45"/>
      <c r="I14" s="19"/>
      <c r="J14" s="19"/>
      <c r="K14" s="20"/>
    </row>
    <row r="15" spans="1:23" s="21" customFormat="1" ht="21">
      <c r="A15" s="38">
        <v>5</v>
      </c>
      <c r="B15" s="39"/>
      <c r="C15" s="40"/>
      <c r="D15" s="41"/>
      <c r="E15" s="42"/>
      <c r="F15" s="43"/>
      <c r="G15" s="44">
        <f t="shared" si="0"/>
        <v>0</v>
      </c>
      <c r="H15" s="45"/>
      <c r="I15" s="19"/>
      <c r="J15" s="19"/>
      <c r="K15" s="20"/>
    </row>
    <row r="16" spans="1:23" s="21" customFormat="1" ht="21">
      <c r="A16" s="38">
        <v>6</v>
      </c>
      <c r="B16" s="39"/>
      <c r="C16" s="40"/>
      <c r="D16" s="41"/>
      <c r="E16" s="42"/>
      <c r="F16" s="43"/>
      <c r="G16" s="44">
        <f t="shared" si="0"/>
        <v>0</v>
      </c>
      <c r="H16" s="45"/>
      <c r="I16" s="19"/>
      <c r="J16" s="19"/>
      <c r="K16" s="20"/>
    </row>
    <row r="17" spans="1:17" s="21" customFormat="1" ht="21">
      <c r="A17" s="38">
        <v>7</v>
      </c>
      <c r="B17" s="39"/>
      <c r="C17" s="40"/>
      <c r="D17" s="41"/>
      <c r="E17" s="42"/>
      <c r="F17" s="43"/>
      <c r="G17" s="44">
        <f t="shared" si="0"/>
        <v>0</v>
      </c>
      <c r="H17" s="45"/>
      <c r="I17" s="19"/>
      <c r="J17" s="19"/>
      <c r="K17" s="20"/>
    </row>
    <row r="18" spans="1:17" s="21" customFormat="1" ht="21">
      <c r="A18" s="38">
        <v>8</v>
      </c>
      <c r="B18" s="39"/>
      <c r="C18" s="40"/>
      <c r="D18" s="41"/>
      <c r="E18" s="42"/>
      <c r="F18" s="43"/>
      <c r="G18" s="44">
        <f t="shared" si="0"/>
        <v>0</v>
      </c>
      <c r="H18" s="45"/>
      <c r="I18" s="19"/>
      <c r="J18" s="19"/>
      <c r="K18" s="20"/>
    </row>
    <row r="19" spans="1:17" s="21" customFormat="1" ht="21">
      <c r="A19" s="38">
        <v>9</v>
      </c>
      <c r="B19" s="39"/>
      <c r="C19" s="40"/>
      <c r="D19" s="41"/>
      <c r="E19" s="42"/>
      <c r="F19" s="43"/>
      <c r="G19" s="44">
        <f t="shared" si="0"/>
        <v>0</v>
      </c>
      <c r="H19" s="45"/>
      <c r="I19" s="19"/>
      <c r="J19" s="19"/>
      <c r="K19" s="20"/>
    </row>
    <row r="20" spans="1:17" s="21" customFormat="1" ht="21">
      <c r="A20" s="38">
        <v>10</v>
      </c>
      <c r="B20" s="39"/>
      <c r="C20" s="40"/>
      <c r="D20" s="41"/>
      <c r="E20" s="42"/>
      <c r="F20" s="43"/>
      <c r="G20" s="44">
        <f t="shared" si="0"/>
        <v>0</v>
      </c>
      <c r="H20" s="45"/>
      <c r="I20" s="19"/>
      <c r="J20" s="19"/>
      <c r="K20" s="20"/>
    </row>
    <row r="21" spans="1:17" s="21" customFormat="1" ht="21">
      <c r="A21" s="38">
        <v>11</v>
      </c>
      <c r="B21" s="39"/>
      <c r="C21" s="40"/>
      <c r="D21" s="41"/>
      <c r="E21" s="42"/>
      <c r="F21" s="43"/>
      <c r="G21" s="44">
        <f t="shared" si="0"/>
        <v>0</v>
      </c>
      <c r="H21" s="45"/>
      <c r="I21" s="19"/>
      <c r="J21" s="19"/>
      <c r="K21" s="20"/>
    </row>
    <row r="22" spans="1:17" s="21" customFormat="1" ht="21">
      <c r="A22" s="38">
        <v>12</v>
      </c>
      <c r="B22" s="46"/>
      <c r="C22" s="47"/>
      <c r="D22" s="41"/>
      <c r="E22" s="42"/>
      <c r="F22" s="43"/>
      <c r="G22" s="44">
        <f t="shared" si="0"/>
        <v>0</v>
      </c>
      <c r="H22" s="45"/>
      <c r="I22" s="23"/>
      <c r="J22" s="23"/>
      <c r="K22" s="20"/>
    </row>
    <row r="23" spans="1:17" s="21" customFormat="1" ht="21">
      <c r="A23" s="38">
        <v>13</v>
      </c>
      <c r="B23" s="46"/>
      <c r="C23" s="40"/>
      <c r="D23" s="41"/>
      <c r="E23" s="42"/>
      <c r="F23" s="43"/>
      <c r="G23" s="44">
        <f t="shared" si="0"/>
        <v>0</v>
      </c>
      <c r="H23" s="45"/>
      <c r="I23" s="23"/>
      <c r="J23" s="23"/>
      <c r="K23" s="20"/>
    </row>
    <row r="24" spans="1:17" s="21" customFormat="1" ht="21">
      <c r="A24" s="38"/>
      <c r="B24" s="38" t="s">
        <v>12</v>
      </c>
      <c r="C24" s="38"/>
      <c r="D24" s="48"/>
      <c r="E24" s="48"/>
      <c r="F24" s="48"/>
      <c r="G24" s="44">
        <f>SUM(G11:G23)</f>
        <v>0</v>
      </c>
      <c r="H24" s="42"/>
      <c r="I24" s="23"/>
      <c r="J24" s="23"/>
      <c r="K24" s="24"/>
    </row>
    <row r="25" spans="1:17" s="21" customFormat="1" ht="21">
      <c r="A25" s="14"/>
      <c r="B25" s="14"/>
      <c r="C25" s="14"/>
      <c r="D25" s="25"/>
      <c r="E25" s="25"/>
      <c r="F25" s="13" t="s">
        <v>42</v>
      </c>
      <c r="G25" s="37">
        <f>SUM(G11:G23)</f>
        <v>0</v>
      </c>
      <c r="H25" s="13"/>
      <c r="I25" s="23"/>
      <c r="J25" s="22"/>
      <c r="K25" s="22"/>
    </row>
    <row r="26" spans="1:17" s="21" customFormat="1" ht="21">
      <c r="A26" s="14"/>
      <c r="B26" s="14"/>
      <c r="C26" s="14"/>
      <c r="D26" s="25"/>
      <c r="E26" s="25"/>
      <c r="F26" s="13" t="s">
        <v>40</v>
      </c>
      <c r="G26" s="37">
        <f>G25*5%</f>
        <v>0</v>
      </c>
      <c r="H26" s="13"/>
      <c r="I26" s="23"/>
      <c r="J26" s="22"/>
      <c r="K26" s="22"/>
    </row>
    <row r="27" spans="1:17" s="21" customFormat="1" ht="21.75" thickBot="1">
      <c r="A27" s="14"/>
      <c r="B27" s="14"/>
      <c r="C27" s="14"/>
      <c r="D27" s="25"/>
      <c r="E27" s="25"/>
      <c r="F27" s="52" t="s">
        <v>41</v>
      </c>
      <c r="G27" s="53">
        <f>G25+G26</f>
        <v>0</v>
      </c>
      <c r="H27" s="13"/>
      <c r="I27" s="23"/>
      <c r="J27" s="22"/>
      <c r="K27" s="22"/>
    </row>
    <row r="28" spans="1:17" s="21" customFormat="1" ht="21">
      <c r="A28" s="25" t="s">
        <v>13</v>
      </c>
      <c r="B28" s="14"/>
      <c r="C28" s="14"/>
      <c r="D28" s="25"/>
      <c r="E28" s="25"/>
      <c r="F28" s="25"/>
      <c r="G28" s="25"/>
      <c r="H28" s="13"/>
      <c r="I28" s="22"/>
      <c r="J28" s="22"/>
      <c r="K28" s="22"/>
      <c r="L28" s="26"/>
      <c r="O28" s="27"/>
      <c r="Q28" s="28"/>
    </row>
    <row r="29" spans="1:17" s="21" customFormat="1" ht="21">
      <c r="A29" s="25"/>
      <c r="B29" s="59" t="s">
        <v>58</v>
      </c>
      <c r="C29" s="59"/>
      <c r="D29" s="29"/>
      <c r="E29" s="29"/>
      <c r="F29" s="29"/>
      <c r="G29" s="29"/>
      <c r="H29" s="29"/>
      <c r="I29" s="22"/>
      <c r="J29" s="22"/>
      <c r="K29" s="22"/>
      <c r="L29" s="26"/>
      <c r="O29" s="27"/>
      <c r="Q29" s="28"/>
    </row>
    <row r="30" spans="1:17" s="21" customFormat="1" ht="21">
      <c r="A30" s="25"/>
      <c r="B30" s="30" t="s">
        <v>59</v>
      </c>
      <c r="C30" s="30"/>
      <c r="D30" s="30"/>
      <c r="E30" s="30"/>
      <c r="F30" s="30"/>
      <c r="G30" s="30"/>
      <c r="H30" s="30"/>
      <c r="I30" s="22"/>
      <c r="J30" s="22"/>
      <c r="K30" s="22"/>
      <c r="L30" s="26"/>
      <c r="O30" s="27"/>
      <c r="Q30" s="28"/>
    </row>
    <row r="31" spans="1:17" s="21" customFormat="1" ht="21">
      <c r="A31" s="25"/>
      <c r="B31" s="30" t="s">
        <v>84</v>
      </c>
      <c r="C31" s="30"/>
      <c r="D31" s="30"/>
      <c r="E31" s="30"/>
      <c r="F31" s="30"/>
      <c r="G31" s="30"/>
      <c r="H31" s="30"/>
      <c r="I31" s="31"/>
      <c r="J31" s="32"/>
      <c r="K31" s="33"/>
      <c r="L31" s="26"/>
    </row>
    <row r="32" spans="1:17" s="21" customFormat="1" ht="21">
      <c r="A32" s="34"/>
      <c r="B32" s="30" t="s">
        <v>60</v>
      </c>
      <c r="C32" s="30"/>
      <c r="D32" s="30"/>
      <c r="E32" s="30"/>
      <c r="F32" s="30"/>
      <c r="G32" s="30"/>
      <c r="H32" s="30"/>
      <c r="I32" s="31"/>
      <c r="J32" s="32"/>
      <c r="K32" s="33"/>
      <c r="L32" s="26"/>
    </row>
    <row r="33" spans="1:12" s="21" customFormat="1" ht="21">
      <c r="A33" s="25"/>
      <c r="B33" s="30" t="s">
        <v>61</v>
      </c>
      <c r="C33" s="30"/>
      <c r="D33" s="30"/>
      <c r="E33" s="30"/>
      <c r="F33" s="30"/>
      <c r="G33" s="30"/>
      <c r="H33" s="30"/>
      <c r="I33" s="35"/>
      <c r="L33" s="26"/>
    </row>
    <row r="34" spans="1:12" s="21" customFormat="1" ht="89.25" customHeight="1">
      <c r="A34" s="25"/>
      <c r="B34" s="60" t="s">
        <v>80</v>
      </c>
      <c r="C34" s="60"/>
      <c r="D34" s="60"/>
      <c r="E34" s="60"/>
      <c r="F34" s="60"/>
      <c r="G34" s="60"/>
      <c r="H34" s="60"/>
      <c r="L34" s="36"/>
    </row>
    <row r="35" spans="1:12" s="21" customFormat="1" ht="21">
      <c r="A35" s="25"/>
      <c r="B35" s="29"/>
      <c r="C35" s="29"/>
      <c r="D35" s="29"/>
      <c r="E35" s="29"/>
      <c r="F35" s="29"/>
      <c r="G35" s="29"/>
      <c r="H35" s="29"/>
      <c r="L35" s="36"/>
    </row>
    <row r="36" spans="1:12" s="21" customFormat="1" ht="21">
      <c r="A36" s="25"/>
      <c r="B36" s="29" t="s">
        <v>73</v>
      </c>
      <c r="C36" s="29"/>
      <c r="E36" s="29"/>
      <c r="F36" s="29" t="s">
        <v>74</v>
      </c>
      <c r="G36" s="29"/>
      <c r="H36" s="29"/>
      <c r="L36" s="36"/>
    </row>
    <row r="37" spans="1:12" s="21" customFormat="1" ht="21">
      <c r="A37" s="25"/>
      <c r="G37" s="29"/>
      <c r="H37" s="29"/>
      <c r="L37" s="36"/>
    </row>
    <row r="38" spans="1:12" s="21" customFormat="1" ht="21">
      <c r="A38" s="25"/>
      <c r="G38" s="29"/>
      <c r="H38" s="29"/>
      <c r="L38" s="36"/>
    </row>
    <row r="39" spans="1:12" s="21" customFormat="1" ht="21">
      <c r="A39" s="25"/>
      <c r="B39" s="29"/>
      <c r="C39" s="29"/>
      <c r="D39" s="29"/>
      <c r="E39" s="29"/>
      <c r="F39" s="29"/>
      <c r="G39" s="29"/>
      <c r="H39" s="29"/>
      <c r="L39" s="36"/>
    </row>
    <row r="40" spans="1:12" s="21" customFormat="1" ht="21">
      <c r="A40" s="25"/>
      <c r="B40" s="29"/>
      <c r="C40" s="29"/>
      <c r="D40" s="29"/>
      <c r="E40" s="29"/>
      <c r="F40" s="29"/>
      <c r="G40" s="29"/>
      <c r="H40" s="29" t="s">
        <v>83</v>
      </c>
      <c r="L40" s="36"/>
    </row>
    <row r="41" spans="1:12" s="21" customFormat="1" ht="21">
      <c r="A41" s="25"/>
      <c r="B41" s="29"/>
      <c r="C41" s="29"/>
      <c r="D41" s="29"/>
      <c r="E41" s="29"/>
      <c r="F41" s="29"/>
      <c r="G41" s="29"/>
      <c r="H41" s="29"/>
      <c r="L41" s="36"/>
    </row>
  </sheetData>
  <mergeCells count="6">
    <mergeCell ref="G7:H7"/>
    <mergeCell ref="G8:H8"/>
    <mergeCell ref="D1:E1"/>
    <mergeCell ref="B29:C29"/>
    <mergeCell ref="B34:H34"/>
    <mergeCell ref="G4:H4"/>
  </mergeCells>
  <phoneticPr fontId="1" type="noConversion"/>
  <printOptions horizontalCentered="1"/>
  <pageMargins left="0.31496062992125984" right="0.11811023622047245" top="0" bottom="0.15748031496062992" header="0" footer="0"/>
  <pageSetup paperSize="9" scale="80" orientation="portrait" r:id="rId1"/>
  <headerFooter>
    <oddFooter>&amp;R&amp;G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25CC0-EFAB-4374-ADEE-8E6F35A955A2}">
  <sheetPr codeName="工作表8"/>
  <dimension ref="A1:W47"/>
  <sheetViews>
    <sheetView view="pageBreakPreview" zoomScaleNormal="100" zoomScaleSheetLayoutView="100" workbookViewId="0">
      <selection activeCell="B41" sqref="B41"/>
    </sheetView>
  </sheetViews>
  <sheetFormatPr defaultColWidth="9" defaultRowHeight="20.100000000000001" customHeight="1"/>
  <cols>
    <col min="1" max="1" width="5.5" style="4" customWidth="1"/>
    <col min="2" max="2" width="23.25" style="4" customWidth="1"/>
    <col min="3" max="3" width="17.75" style="4" customWidth="1"/>
    <col min="4" max="4" width="9.875" style="4" customWidth="1"/>
    <col min="5" max="5" width="5.75" style="4" customWidth="1"/>
    <col min="6" max="6" width="15" style="4" customWidth="1"/>
    <col min="7" max="7" width="13" style="4" customWidth="1"/>
    <col min="8" max="8" width="26.875" style="5" customWidth="1"/>
    <col min="9" max="9" width="13" style="5" customWidth="1"/>
    <col min="10" max="10" width="15.625" style="5" customWidth="1"/>
    <col min="11" max="11" width="13.625" style="5" customWidth="1"/>
    <col min="12" max="12" width="9.375" style="6" customWidth="1"/>
    <col min="13" max="13" width="5.75" style="4" customWidth="1"/>
    <col min="14" max="14" width="11.625" style="4" customWidth="1"/>
    <col min="15" max="16" width="9" style="4"/>
    <col min="17" max="17" width="12.75" style="4" bestFit="1" customWidth="1"/>
    <col min="18" max="20" width="9" style="4"/>
    <col min="21" max="21" width="13.5" style="4" customWidth="1"/>
    <col min="22" max="16384" width="9" style="4"/>
  </cols>
  <sheetData>
    <row r="1" spans="1:23" s="1" customFormat="1" ht="35.25" customHeight="1">
      <c r="A1" s="9"/>
      <c r="B1" s="10"/>
      <c r="C1" s="9"/>
      <c r="D1" s="55"/>
      <c r="E1" s="55"/>
      <c r="F1" s="11"/>
      <c r="G1" s="12"/>
      <c r="H1" s="12"/>
      <c r="I1" s="3"/>
      <c r="J1" s="2"/>
      <c r="L1" s="7"/>
      <c r="O1" s="4"/>
      <c r="P1" s="4"/>
      <c r="Q1" s="4"/>
      <c r="R1" s="4"/>
      <c r="S1" s="4"/>
      <c r="T1" s="4"/>
      <c r="U1" s="4"/>
      <c r="V1" s="4"/>
      <c r="W1" s="4"/>
    </row>
    <row r="2" spans="1:23" s="21" customFormat="1" ht="21">
      <c r="A2" s="13"/>
      <c r="B2" s="14"/>
      <c r="C2" s="15"/>
      <c r="D2" s="16"/>
      <c r="E2" s="17"/>
      <c r="F2" s="18"/>
      <c r="I2" s="19"/>
      <c r="J2" s="19"/>
      <c r="K2" s="20"/>
    </row>
    <row r="3" spans="1:23" s="21" customFormat="1" ht="28.5" customHeight="1">
      <c r="A3" s="13"/>
      <c r="B3" s="14"/>
      <c r="C3" s="15"/>
      <c r="D3" s="16"/>
      <c r="E3" s="17"/>
      <c r="F3" s="18"/>
      <c r="I3" s="19"/>
      <c r="J3" s="19"/>
      <c r="K3" s="20"/>
    </row>
    <row r="4" spans="1:23" s="21" customFormat="1" ht="21">
      <c r="B4" s="25" t="s">
        <v>63</v>
      </c>
      <c r="C4" s="15"/>
      <c r="D4" s="16"/>
      <c r="E4" s="17"/>
      <c r="F4" s="49" t="s">
        <v>62</v>
      </c>
      <c r="G4" s="58" t="s">
        <v>93</v>
      </c>
      <c r="H4" s="58"/>
      <c r="I4" s="19"/>
      <c r="J4" s="19"/>
      <c r="K4" s="20"/>
    </row>
    <row r="5" spans="1:23" s="21" customFormat="1" ht="21">
      <c r="B5" s="25" t="s">
        <v>94</v>
      </c>
      <c r="C5" s="15"/>
      <c r="D5" s="16"/>
      <c r="E5" s="17"/>
      <c r="F5" s="49" t="s">
        <v>14</v>
      </c>
      <c r="G5" s="50">
        <v>46238</v>
      </c>
      <c r="I5" s="19"/>
      <c r="J5" s="19"/>
      <c r="K5" s="20"/>
    </row>
    <row r="6" spans="1:23" s="21" customFormat="1" ht="21" customHeight="1">
      <c r="B6" s="25" t="s">
        <v>65</v>
      </c>
      <c r="C6" s="15"/>
      <c r="D6" s="16"/>
      <c r="E6" s="17"/>
      <c r="F6" s="49" t="s">
        <v>71</v>
      </c>
      <c r="G6" s="50" t="s">
        <v>69</v>
      </c>
      <c r="H6" s="50"/>
      <c r="I6" s="19"/>
      <c r="J6" s="19"/>
      <c r="K6" s="20"/>
    </row>
    <row r="7" spans="1:23" s="21" customFormat="1" ht="21" customHeight="1">
      <c r="B7" s="25" t="s">
        <v>66</v>
      </c>
      <c r="C7" s="15"/>
      <c r="D7" s="16"/>
      <c r="E7" s="17"/>
      <c r="F7" s="49" t="s">
        <v>72</v>
      </c>
      <c r="G7" s="56" t="s">
        <v>3</v>
      </c>
      <c r="H7" s="56"/>
      <c r="I7" s="19"/>
      <c r="J7" s="19"/>
      <c r="K7" s="20"/>
    </row>
    <row r="8" spans="1:23" s="21" customFormat="1" ht="21">
      <c r="B8" s="25" t="s">
        <v>87</v>
      </c>
      <c r="C8" s="25"/>
      <c r="D8" s="25"/>
      <c r="E8" s="17"/>
      <c r="F8" s="49" t="s">
        <v>81</v>
      </c>
      <c r="G8" s="57" t="s">
        <v>82</v>
      </c>
      <c r="H8" s="57"/>
      <c r="I8" s="19"/>
      <c r="J8" s="19"/>
      <c r="K8" s="20"/>
    </row>
    <row r="9" spans="1:23" s="21" customFormat="1" ht="21">
      <c r="C9" s="25"/>
      <c r="D9" s="25"/>
      <c r="E9" s="17"/>
      <c r="F9" s="49"/>
      <c r="G9" s="57"/>
      <c r="H9" s="57"/>
      <c r="I9" s="19"/>
      <c r="J9" s="19"/>
      <c r="K9" s="20"/>
    </row>
    <row r="10" spans="1:23" s="22" customFormat="1" ht="21">
      <c r="A10" s="38" t="s">
        <v>0</v>
      </c>
      <c r="B10" s="38" t="s">
        <v>70</v>
      </c>
      <c r="C10" s="38" t="s">
        <v>30</v>
      </c>
      <c r="D10" s="38" t="s">
        <v>4</v>
      </c>
      <c r="E10" s="38" t="s">
        <v>5</v>
      </c>
      <c r="F10" s="38" t="s">
        <v>6</v>
      </c>
      <c r="G10" s="38" t="s">
        <v>7</v>
      </c>
      <c r="H10" s="38" t="s">
        <v>8</v>
      </c>
      <c r="P10" s="21"/>
      <c r="Q10" s="21"/>
      <c r="R10" s="21"/>
      <c r="S10" s="21"/>
      <c r="T10" s="21"/>
    </row>
    <row r="11" spans="1:23" s="21" customFormat="1" ht="21">
      <c r="A11" s="38"/>
      <c r="B11" s="39"/>
      <c r="C11" s="40"/>
      <c r="D11" s="41"/>
      <c r="E11" s="42"/>
      <c r="F11" s="43"/>
      <c r="G11" s="44"/>
      <c r="H11" s="45"/>
      <c r="I11" s="19"/>
      <c r="J11" s="19"/>
      <c r="K11" s="20"/>
    </row>
    <row r="12" spans="1:23" s="21" customFormat="1" ht="21">
      <c r="A12" s="38"/>
      <c r="B12" s="39"/>
      <c r="C12" s="40"/>
      <c r="D12" s="41"/>
      <c r="E12" s="42"/>
      <c r="F12" s="43"/>
      <c r="G12" s="44"/>
      <c r="H12" s="45"/>
      <c r="I12" s="19"/>
      <c r="J12" s="19"/>
      <c r="K12" s="20"/>
    </row>
    <row r="13" spans="1:23" s="21" customFormat="1" ht="21">
      <c r="A13" s="38"/>
      <c r="B13" s="39"/>
      <c r="C13" s="40"/>
      <c r="D13" s="41"/>
      <c r="E13" s="42"/>
      <c r="F13" s="43"/>
      <c r="G13" s="44"/>
      <c r="H13" s="45"/>
      <c r="I13" s="19"/>
      <c r="J13" s="19"/>
      <c r="K13" s="20"/>
    </row>
    <row r="14" spans="1:23" s="21" customFormat="1" ht="21">
      <c r="A14" s="38"/>
      <c r="B14" s="39"/>
      <c r="C14" s="40"/>
      <c r="D14" s="41"/>
      <c r="E14" s="42"/>
      <c r="F14" s="43"/>
      <c r="G14" s="44"/>
      <c r="H14" s="45"/>
      <c r="I14" s="19"/>
      <c r="J14" s="19"/>
      <c r="K14" s="20"/>
    </row>
    <row r="15" spans="1:23" s="21" customFormat="1" ht="21">
      <c r="A15" s="38"/>
      <c r="B15" s="39"/>
      <c r="C15" s="40"/>
      <c r="D15" s="41"/>
      <c r="E15" s="42"/>
      <c r="F15" s="43"/>
      <c r="G15" s="44"/>
      <c r="H15" s="45"/>
      <c r="I15" s="19"/>
      <c r="J15" s="19"/>
      <c r="K15" s="20"/>
    </row>
    <row r="16" spans="1:23" s="21" customFormat="1" ht="21">
      <c r="A16" s="38"/>
      <c r="B16" s="39"/>
      <c r="C16" s="40"/>
      <c r="D16" s="41"/>
      <c r="E16" s="42"/>
      <c r="F16" s="43"/>
      <c r="G16" s="44"/>
      <c r="H16" s="45"/>
      <c r="I16" s="19"/>
      <c r="J16" s="19"/>
      <c r="K16" s="20"/>
    </row>
    <row r="17" spans="1:11" s="21" customFormat="1" ht="21">
      <c r="A17" s="38"/>
      <c r="B17" s="39"/>
      <c r="C17" s="40"/>
      <c r="D17" s="41"/>
      <c r="E17" s="42"/>
      <c r="F17" s="43"/>
      <c r="G17" s="44">
        <f t="shared" ref="G17:G28" si="0">D17*F17</f>
        <v>0</v>
      </c>
      <c r="H17" s="45"/>
      <c r="I17" s="19"/>
      <c r="J17" s="19"/>
      <c r="K17" s="20"/>
    </row>
    <row r="18" spans="1:11" s="21" customFormat="1" ht="21">
      <c r="A18" s="38"/>
      <c r="B18" s="39"/>
      <c r="C18" s="40"/>
      <c r="D18" s="41"/>
      <c r="E18" s="42"/>
      <c r="F18" s="43"/>
      <c r="G18" s="44">
        <f t="shared" si="0"/>
        <v>0</v>
      </c>
      <c r="H18" s="45"/>
      <c r="I18" s="19"/>
      <c r="J18" s="19"/>
      <c r="K18" s="20"/>
    </row>
    <row r="19" spans="1:11" s="21" customFormat="1" ht="21">
      <c r="A19" s="38"/>
      <c r="B19" s="39"/>
      <c r="C19" s="40"/>
      <c r="D19" s="41"/>
      <c r="E19" s="42"/>
      <c r="F19" s="43"/>
      <c r="G19" s="44">
        <f t="shared" si="0"/>
        <v>0</v>
      </c>
      <c r="H19" s="45"/>
      <c r="I19" s="19"/>
      <c r="J19" s="19"/>
      <c r="K19" s="20"/>
    </row>
    <row r="20" spans="1:11" s="21" customFormat="1" ht="21">
      <c r="A20" s="38"/>
      <c r="B20" s="39"/>
      <c r="C20" s="40"/>
      <c r="D20" s="41"/>
      <c r="E20" s="42"/>
      <c r="F20" s="43"/>
      <c r="G20" s="44">
        <f t="shared" si="0"/>
        <v>0</v>
      </c>
      <c r="H20" s="45"/>
      <c r="I20" s="19"/>
      <c r="J20" s="19"/>
      <c r="K20" s="20"/>
    </row>
    <row r="21" spans="1:11" s="21" customFormat="1" ht="21">
      <c r="A21" s="38"/>
      <c r="B21" s="39"/>
      <c r="C21" s="40"/>
      <c r="D21" s="41"/>
      <c r="E21" s="42"/>
      <c r="F21" s="43"/>
      <c r="G21" s="44">
        <f t="shared" si="0"/>
        <v>0</v>
      </c>
      <c r="H21" s="45"/>
      <c r="I21" s="19"/>
      <c r="J21" s="19"/>
      <c r="K21" s="20"/>
    </row>
    <row r="22" spans="1:11" s="21" customFormat="1" ht="21">
      <c r="A22" s="38"/>
      <c r="B22" s="46"/>
      <c r="C22" s="47"/>
      <c r="D22" s="41"/>
      <c r="E22" s="42"/>
      <c r="F22" s="43"/>
      <c r="G22" s="44">
        <f t="shared" si="0"/>
        <v>0</v>
      </c>
      <c r="H22" s="45"/>
      <c r="I22" s="23"/>
      <c r="J22" s="23"/>
      <c r="K22" s="20"/>
    </row>
    <row r="23" spans="1:11" s="21" customFormat="1" ht="21">
      <c r="A23" s="38"/>
      <c r="B23" s="46"/>
      <c r="C23" s="40"/>
      <c r="D23" s="41"/>
      <c r="E23" s="42"/>
      <c r="F23" s="43"/>
      <c r="G23" s="44">
        <f t="shared" si="0"/>
        <v>0</v>
      </c>
      <c r="H23" s="45"/>
      <c r="I23" s="23"/>
      <c r="J23" s="23"/>
      <c r="K23" s="20"/>
    </row>
    <row r="24" spans="1:11" s="21" customFormat="1" ht="21">
      <c r="A24" s="38"/>
      <c r="B24" s="46"/>
      <c r="C24" s="47"/>
      <c r="D24" s="41"/>
      <c r="E24" s="42"/>
      <c r="F24" s="43"/>
      <c r="G24" s="44"/>
      <c r="H24" s="45"/>
      <c r="I24" s="23"/>
      <c r="J24" s="23"/>
      <c r="K24" s="20"/>
    </row>
    <row r="25" spans="1:11" s="21" customFormat="1" ht="21">
      <c r="A25" s="38"/>
      <c r="B25" s="46"/>
      <c r="C25" s="46"/>
      <c r="D25" s="41"/>
      <c r="E25" s="42"/>
      <c r="F25" s="43"/>
      <c r="G25" s="44">
        <f t="shared" si="0"/>
        <v>0</v>
      </c>
      <c r="H25" s="45"/>
      <c r="I25" s="23"/>
      <c r="J25" s="23"/>
      <c r="K25" s="20"/>
    </row>
    <row r="26" spans="1:11" s="21" customFormat="1" ht="21">
      <c r="A26" s="38"/>
      <c r="B26" s="46"/>
      <c r="C26" s="46"/>
      <c r="D26" s="41"/>
      <c r="E26" s="42"/>
      <c r="F26" s="43"/>
      <c r="G26" s="44">
        <f t="shared" si="0"/>
        <v>0</v>
      </c>
      <c r="H26" s="45"/>
      <c r="I26" s="23"/>
      <c r="J26" s="23"/>
      <c r="K26" s="20"/>
    </row>
    <row r="27" spans="1:11" s="21" customFormat="1" ht="21">
      <c r="A27" s="38"/>
      <c r="B27" s="46"/>
      <c r="C27" s="46"/>
      <c r="D27" s="41"/>
      <c r="E27" s="42"/>
      <c r="F27" s="43"/>
      <c r="G27" s="44">
        <f t="shared" si="0"/>
        <v>0</v>
      </c>
      <c r="H27" s="45"/>
      <c r="I27" s="23"/>
      <c r="J27" s="23"/>
      <c r="K27" s="20"/>
    </row>
    <row r="28" spans="1:11" s="21" customFormat="1" ht="21">
      <c r="A28" s="38"/>
      <c r="B28" s="46"/>
      <c r="C28" s="46"/>
      <c r="D28" s="41"/>
      <c r="E28" s="42"/>
      <c r="F28" s="43"/>
      <c r="G28" s="44">
        <f t="shared" si="0"/>
        <v>0</v>
      </c>
      <c r="H28" s="45"/>
      <c r="I28" s="23"/>
      <c r="J28" s="23"/>
      <c r="K28" s="20"/>
    </row>
    <row r="29" spans="1:11" s="21" customFormat="1" ht="21">
      <c r="A29" s="38"/>
      <c r="B29" s="38" t="s">
        <v>12</v>
      </c>
      <c r="C29" s="38"/>
      <c r="D29" s="48"/>
      <c r="E29" s="48"/>
      <c r="F29" s="48"/>
      <c r="G29" s="44">
        <f>SUM(G11:G28)</f>
        <v>0</v>
      </c>
      <c r="H29" s="42"/>
      <c r="I29" s="23"/>
      <c r="J29" s="23"/>
      <c r="K29" s="24"/>
    </row>
    <row r="30" spans="1:11" s="21" customFormat="1" ht="21">
      <c r="A30" s="14"/>
      <c r="B30" s="14"/>
      <c r="C30" s="14"/>
      <c r="D30" s="25"/>
      <c r="E30" s="25"/>
      <c r="F30" s="13" t="s">
        <v>42</v>
      </c>
      <c r="G30" s="37">
        <f>SUM(G11:G28)</f>
        <v>0</v>
      </c>
      <c r="H30" s="13"/>
      <c r="I30" s="23"/>
      <c r="J30" s="22"/>
      <c r="K30" s="22"/>
    </row>
    <row r="31" spans="1:11" s="21" customFormat="1" ht="21">
      <c r="A31" s="14"/>
      <c r="B31" s="14"/>
      <c r="C31" s="14"/>
      <c r="D31" s="25"/>
      <c r="E31" s="25"/>
      <c r="F31" s="13" t="s">
        <v>40</v>
      </c>
      <c r="G31" s="37">
        <f>G30*5%</f>
        <v>0</v>
      </c>
      <c r="H31" s="13"/>
      <c r="I31" s="23"/>
      <c r="J31" s="22"/>
      <c r="K31" s="22"/>
    </row>
    <row r="32" spans="1:11" s="21" customFormat="1" ht="21.75" thickBot="1">
      <c r="A32" s="14"/>
      <c r="B32" s="14"/>
      <c r="C32" s="14"/>
      <c r="D32" s="25"/>
      <c r="E32" s="25"/>
      <c r="F32" s="52" t="s">
        <v>41</v>
      </c>
      <c r="G32" s="53">
        <f>G30+G31</f>
        <v>0</v>
      </c>
      <c r="H32" s="13"/>
      <c r="I32" s="23"/>
      <c r="J32" s="22"/>
      <c r="K32" s="22"/>
    </row>
    <row r="33" spans="1:17" s="21" customFormat="1" ht="21">
      <c r="A33" s="25" t="s">
        <v>13</v>
      </c>
      <c r="B33" s="14"/>
      <c r="C33" s="14"/>
      <c r="D33" s="25"/>
      <c r="E33" s="25"/>
      <c r="F33" s="25"/>
      <c r="G33" s="25"/>
      <c r="H33" s="13"/>
      <c r="I33" s="22"/>
      <c r="J33" s="22"/>
      <c r="K33" s="22"/>
      <c r="L33" s="26"/>
      <c r="O33" s="27"/>
      <c r="Q33" s="28"/>
    </row>
    <row r="34" spans="1:17" s="21" customFormat="1" ht="21" customHeight="1">
      <c r="A34" s="25"/>
      <c r="B34" s="25" t="s">
        <v>78</v>
      </c>
      <c r="C34" s="25"/>
      <c r="D34" s="25"/>
      <c r="E34" s="25"/>
      <c r="F34" s="25"/>
      <c r="G34" s="25"/>
      <c r="H34" s="25"/>
      <c r="I34" s="22"/>
      <c r="J34" s="22"/>
      <c r="K34" s="22"/>
      <c r="L34" s="26"/>
      <c r="O34" s="27"/>
      <c r="Q34" s="28"/>
    </row>
    <row r="35" spans="1:17" s="21" customFormat="1" ht="21">
      <c r="A35" s="25"/>
      <c r="B35" s="25" t="s">
        <v>37</v>
      </c>
      <c r="C35" s="25"/>
      <c r="D35" s="30"/>
      <c r="E35" s="30"/>
      <c r="F35" s="30"/>
      <c r="G35" s="30"/>
      <c r="H35" s="30"/>
      <c r="I35" s="22"/>
      <c r="J35" s="22"/>
      <c r="K35" s="22"/>
      <c r="L35" s="26"/>
      <c r="O35" s="27"/>
      <c r="Q35" s="28"/>
    </row>
    <row r="36" spans="1:17" s="21" customFormat="1" ht="21">
      <c r="A36" s="25"/>
      <c r="B36" s="25" t="s">
        <v>39</v>
      </c>
      <c r="C36" s="25"/>
      <c r="D36" s="30"/>
      <c r="E36" s="30"/>
      <c r="F36" s="30"/>
      <c r="G36" s="30"/>
      <c r="H36" s="30"/>
      <c r="I36" s="31"/>
      <c r="J36" s="32"/>
      <c r="K36" s="33"/>
      <c r="L36" s="26"/>
    </row>
    <row r="37" spans="1:17" s="21" customFormat="1" ht="21">
      <c r="A37" s="61"/>
      <c r="B37" s="25" t="s">
        <v>75</v>
      </c>
      <c r="C37" s="25"/>
      <c r="D37" s="30"/>
      <c r="E37" s="30"/>
      <c r="F37" s="30"/>
      <c r="G37" s="30"/>
      <c r="H37" s="30"/>
      <c r="I37" s="31"/>
      <c r="J37" s="32"/>
      <c r="K37" s="33"/>
      <c r="L37" s="26"/>
    </row>
    <row r="38" spans="1:17" s="21" customFormat="1" ht="21">
      <c r="A38" s="61"/>
      <c r="B38" s="25" t="s">
        <v>38</v>
      </c>
      <c r="C38" s="25"/>
      <c r="D38" s="30"/>
      <c r="E38" s="30"/>
      <c r="F38" s="30"/>
      <c r="G38" s="30"/>
      <c r="H38" s="30"/>
      <c r="I38" s="31"/>
      <c r="J38" s="32"/>
      <c r="K38" s="33"/>
      <c r="L38" s="26"/>
    </row>
    <row r="39" spans="1:17" s="21" customFormat="1" ht="21">
      <c r="A39" s="25"/>
      <c r="B39" s="25" t="s">
        <v>76</v>
      </c>
      <c r="C39" s="25"/>
      <c r="D39" s="30"/>
      <c r="E39" s="30"/>
      <c r="F39" s="30"/>
      <c r="G39" s="30"/>
      <c r="H39" s="30"/>
      <c r="I39" s="35"/>
      <c r="L39" s="26"/>
    </row>
    <row r="40" spans="1:17" s="21" customFormat="1" ht="21">
      <c r="A40" s="25"/>
      <c r="B40" s="25" t="s">
        <v>95</v>
      </c>
      <c r="C40" s="25"/>
      <c r="D40" s="30"/>
      <c r="E40" s="30"/>
      <c r="F40" s="30"/>
      <c r="G40" s="30"/>
      <c r="H40" s="30"/>
      <c r="I40" s="35"/>
      <c r="L40" s="26"/>
    </row>
    <row r="41" spans="1:17" s="21" customFormat="1" ht="21">
      <c r="A41" s="25"/>
      <c r="B41" s="29"/>
      <c r="C41" s="29"/>
      <c r="D41" s="29"/>
      <c r="E41" s="29"/>
      <c r="F41" s="29"/>
      <c r="G41" s="29"/>
      <c r="H41" s="29"/>
      <c r="L41" s="36"/>
    </row>
    <row r="42" spans="1:17" s="21" customFormat="1" ht="21">
      <c r="A42" s="25"/>
      <c r="B42" s="29" t="s">
        <v>73</v>
      </c>
      <c r="C42" s="29"/>
      <c r="E42" s="29"/>
      <c r="F42" s="29" t="s">
        <v>74</v>
      </c>
      <c r="G42" s="29"/>
      <c r="H42" s="29"/>
      <c r="L42" s="36"/>
    </row>
    <row r="43" spans="1:17" s="21" customFormat="1" ht="21">
      <c r="A43" s="25"/>
      <c r="G43" s="29"/>
      <c r="H43" s="29"/>
      <c r="L43" s="36"/>
    </row>
    <row r="44" spans="1:17" s="21" customFormat="1" ht="21">
      <c r="A44" s="25"/>
      <c r="G44" s="29"/>
      <c r="H44" s="29"/>
      <c r="L44" s="36"/>
    </row>
    <row r="45" spans="1:17" s="21" customFormat="1" ht="21">
      <c r="A45" s="25"/>
      <c r="B45" s="29"/>
      <c r="C45" s="29"/>
      <c r="D45" s="29"/>
      <c r="E45" s="29"/>
      <c r="F45" s="29"/>
      <c r="G45" s="29"/>
      <c r="H45" s="29"/>
      <c r="L45" s="36"/>
    </row>
    <row r="46" spans="1:17" s="21" customFormat="1" ht="21">
      <c r="A46" s="25"/>
      <c r="B46" s="29"/>
      <c r="C46" s="29"/>
      <c r="D46" s="29"/>
      <c r="E46" s="29"/>
      <c r="F46" s="29"/>
      <c r="G46" s="29"/>
      <c r="H46" s="29" t="s">
        <v>83</v>
      </c>
      <c r="L46" s="36"/>
    </row>
    <row r="47" spans="1:17" s="21" customFormat="1" ht="21">
      <c r="A47" s="25"/>
      <c r="B47" s="29"/>
      <c r="C47" s="29"/>
      <c r="D47" s="29"/>
      <c r="E47" s="29"/>
      <c r="F47" s="29"/>
      <c r="G47" s="29"/>
      <c r="H47" s="29"/>
      <c r="L47" s="36"/>
    </row>
  </sheetData>
  <mergeCells count="6">
    <mergeCell ref="A37:A38"/>
    <mergeCell ref="D1:E1"/>
    <mergeCell ref="G7:H7"/>
    <mergeCell ref="G8:H8"/>
    <mergeCell ref="G9:H9"/>
    <mergeCell ref="G4:H4"/>
  </mergeCells>
  <phoneticPr fontId="1" type="noConversion"/>
  <printOptions horizontalCentered="1"/>
  <pageMargins left="0.31496062992125984" right="0.11811023622047245" top="0" bottom="0.15748031496062992" header="0" footer="0"/>
  <pageSetup paperSize="9" scale="80" orientation="portrait" r:id="rId1"/>
  <headerFooter>
    <oddFooter>&amp;R&amp;G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3DD-7805-42A6-9B76-89E32748B265}">
  <sheetPr codeName="工作表9"/>
  <dimension ref="A1:W48"/>
  <sheetViews>
    <sheetView view="pageBreakPreview" topLeftCell="A25" zoomScaleNormal="100" zoomScaleSheetLayoutView="100" workbookViewId="0">
      <selection activeCell="B40" sqref="B40"/>
    </sheetView>
  </sheetViews>
  <sheetFormatPr defaultColWidth="9" defaultRowHeight="20.100000000000001" customHeight="1"/>
  <cols>
    <col min="1" max="1" width="5.5" style="4" customWidth="1"/>
    <col min="2" max="2" width="23.25" style="4" customWidth="1"/>
    <col min="3" max="3" width="17.75" style="4" customWidth="1"/>
    <col min="4" max="4" width="9.875" style="4" customWidth="1"/>
    <col min="5" max="5" width="5.75" style="4" customWidth="1"/>
    <col min="6" max="6" width="15" style="4" customWidth="1"/>
    <col min="7" max="7" width="13" style="4" customWidth="1"/>
    <col min="8" max="8" width="26.875" style="5" customWidth="1"/>
    <col min="9" max="9" width="13" style="5" customWidth="1"/>
    <col min="10" max="10" width="15.625" style="5" customWidth="1"/>
    <col min="11" max="11" width="13.625" style="5" customWidth="1"/>
    <col min="12" max="12" width="9.375" style="6" customWidth="1"/>
    <col min="13" max="13" width="5.75" style="4" customWidth="1"/>
    <col min="14" max="14" width="11.625" style="4" customWidth="1"/>
    <col min="15" max="16" width="9" style="4"/>
    <col min="17" max="17" width="12.75" style="4" bestFit="1" customWidth="1"/>
    <col min="18" max="20" width="9" style="4"/>
    <col min="21" max="21" width="13.5" style="4" customWidth="1"/>
    <col min="22" max="16384" width="9" style="4"/>
  </cols>
  <sheetData>
    <row r="1" spans="1:23" s="1" customFormat="1" ht="35.25" customHeight="1">
      <c r="A1" s="9"/>
      <c r="B1" s="10"/>
      <c r="C1" s="9"/>
      <c r="D1" s="55"/>
      <c r="E1" s="55"/>
      <c r="F1" s="11"/>
      <c r="G1" s="12"/>
      <c r="H1" s="12"/>
      <c r="I1" s="3"/>
      <c r="J1" s="2"/>
      <c r="L1" s="7"/>
      <c r="O1" s="4"/>
      <c r="P1" s="4"/>
      <c r="Q1" s="4"/>
      <c r="R1" s="4"/>
      <c r="S1" s="4"/>
      <c r="T1" s="4"/>
      <c r="U1" s="4"/>
      <c r="V1" s="4"/>
      <c r="W1" s="4"/>
    </row>
    <row r="2" spans="1:23" s="21" customFormat="1" ht="21">
      <c r="A2" s="13"/>
      <c r="B2" s="14"/>
      <c r="C2" s="15"/>
      <c r="D2" s="16"/>
      <c r="E2" s="17"/>
      <c r="F2" s="18"/>
      <c r="I2" s="19"/>
      <c r="J2" s="19"/>
      <c r="K2" s="20"/>
    </row>
    <row r="3" spans="1:23" s="21" customFormat="1" ht="28.5" customHeight="1">
      <c r="A3" s="13"/>
      <c r="B3" s="14"/>
      <c r="C3" s="15"/>
      <c r="D3" s="16"/>
      <c r="E3" s="17"/>
      <c r="F3" s="18"/>
      <c r="I3" s="19"/>
      <c r="J3" s="19"/>
      <c r="K3" s="20"/>
    </row>
    <row r="4" spans="1:23" s="21" customFormat="1" ht="21">
      <c r="B4" s="25" t="s">
        <v>63</v>
      </c>
      <c r="C4" s="15"/>
      <c r="D4" s="16"/>
      <c r="E4" s="17"/>
      <c r="F4" s="49" t="s">
        <v>62</v>
      </c>
      <c r="G4" s="58" t="s">
        <v>85</v>
      </c>
      <c r="H4" s="58"/>
      <c r="I4" s="19"/>
      <c r="J4" s="19"/>
      <c r="K4" s="20"/>
    </row>
    <row r="5" spans="1:23" s="21" customFormat="1" ht="21">
      <c r="B5" s="25" t="s">
        <v>86</v>
      </c>
      <c r="C5" s="15"/>
      <c r="D5" s="16"/>
      <c r="E5" s="17"/>
      <c r="F5" s="49" t="s">
        <v>14</v>
      </c>
      <c r="G5" s="56">
        <v>46213</v>
      </c>
      <c r="H5" s="56"/>
      <c r="I5" s="19"/>
      <c r="J5" s="19"/>
      <c r="K5" s="20"/>
    </row>
    <row r="6" spans="1:23" s="21" customFormat="1" ht="21" customHeight="1">
      <c r="B6" s="25" t="s">
        <v>65</v>
      </c>
      <c r="C6" s="15"/>
      <c r="D6" s="16"/>
      <c r="E6" s="17"/>
      <c r="F6" s="49" t="s">
        <v>71</v>
      </c>
      <c r="G6" s="62"/>
      <c r="H6" s="62"/>
      <c r="I6" s="19"/>
      <c r="J6" s="19"/>
      <c r="K6" s="20"/>
    </row>
    <row r="7" spans="1:23" s="21" customFormat="1" ht="21" customHeight="1">
      <c r="B7" s="25" t="s">
        <v>66</v>
      </c>
      <c r="C7" s="15"/>
      <c r="D7" s="16"/>
      <c r="E7" s="17"/>
      <c r="F7" s="49" t="s">
        <v>72</v>
      </c>
      <c r="G7" s="56" t="s">
        <v>3</v>
      </c>
      <c r="H7" s="56"/>
      <c r="I7" s="19"/>
      <c r="J7" s="19"/>
      <c r="K7" s="20"/>
    </row>
    <row r="8" spans="1:23" s="21" customFormat="1" ht="21">
      <c r="B8" s="25" t="s">
        <v>87</v>
      </c>
      <c r="C8" s="25"/>
      <c r="D8" s="25"/>
      <c r="E8" s="17"/>
      <c r="F8" s="49" t="s">
        <v>81</v>
      </c>
      <c r="G8" s="57" t="s">
        <v>82</v>
      </c>
      <c r="H8" s="57"/>
      <c r="I8" s="19"/>
      <c r="J8" s="19"/>
      <c r="K8" s="20"/>
    </row>
    <row r="9" spans="1:23" s="21" customFormat="1" ht="21">
      <c r="C9" s="25"/>
      <c r="D9" s="25"/>
      <c r="E9" s="17"/>
      <c r="F9" s="49"/>
      <c r="G9" s="57"/>
      <c r="H9" s="57"/>
      <c r="I9" s="19"/>
      <c r="J9" s="19"/>
      <c r="K9" s="20"/>
    </row>
    <row r="10" spans="1:23" s="22" customFormat="1" ht="21">
      <c r="A10" s="38" t="s">
        <v>0</v>
      </c>
      <c r="B10" s="38" t="s">
        <v>70</v>
      </c>
      <c r="C10" s="38" t="s">
        <v>30</v>
      </c>
      <c r="D10" s="38" t="s">
        <v>4</v>
      </c>
      <c r="E10" s="38" t="s">
        <v>5</v>
      </c>
      <c r="F10" s="38" t="s">
        <v>6</v>
      </c>
      <c r="G10" s="38" t="s">
        <v>7</v>
      </c>
      <c r="H10" s="38" t="s">
        <v>8</v>
      </c>
      <c r="P10" s="21"/>
      <c r="Q10" s="21"/>
      <c r="R10" s="21"/>
      <c r="S10" s="21"/>
      <c r="T10" s="21"/>
    </row>
    <row r="11" spans="1:23" s="21" customFormat="1" ht="21">
      <c r="A11" s="38"/>
      <c r="B11" s="39"/>
      <c r="C11" s="40"/>
      <c r="D11" s="41"/>
      <c r="E11" s="42"/>
      <c r="F11" s="43"/>
      <c r="G11" s="44"/>
      <c r="H11" s="45"/>
      <c r="I11" s="19"/>
      <c r="J11" s="19"/>
      <c r="K11" s="20"/>
    </row>
    <row r="12" spans="1:23" s="21" customFormat="1" ht="21">
      <c r="A12" s="38"/>
      <c r="B12" s="39"/>
      <c r="C12" s="40"/>
      <c r="D12" s="41"/>
      <c r="E12" s="42"/>
      <c r="F12" s="43"/>
      <c r="G12" s="44"/>
      <c r="H12" s="45"/>
      <c r="I12" s="19"/>
      <c r="J12" s="19"/>
      <c r="K12" s="20"/>
    </row>
    <row r="13" spans="1:23" s="21" customFormat="1" ht="21">
      <c r="A13" s="38"/>
      <c r="B13" s="39"/>
      <c r="C13" s="40"/>
      <c r="D13" s="41"/>
      <c r="E13" s="42"/>
      <c r="F13" s="43"/>
      <c r="G13" s="44"/>
      <c r="H13" s="45"/>
      <c r="I13" s="19"/>
      <c r="J13" s="19"/>
      <c r="K13" s="20"/>
    </row>
    <row r="14" spans="1:23" s="21" customFormat="1" ht="21">
      <c r="A14" s="38"/>
      <c r="B14" s="39"/>
      <c r="C14" s="40"/>
      <c r="D14" s="41"/>
      <c r="E14" s="42"/>
      <c r="F14" s="43"/>
      <c r="G14" s="44"/>
      <c r="H14" s="45"/>
      <c r="I14" s="19"/>
      <c r="J14" s="19"/>
      <c r="K14" s="20"/>
    </row>
    <row r="15" spans="1:23" s="21" customFormat="1" ht="21">
      <c r="A15" s="38"/>
      <c r="B15" s="39"/>
      <c r="C15" s="40"/>
      <c r="D15" s="41"/>
      <c r="E15" s="42"/>
      <c r="F15" s="43"/>
      <c r="G15" s="44"/>
      <c r="H15" s="45"/>
      <c r="I15" s="19"/>
      <c r="J15" s="19"/>
      <c r="K15" s="20"/>
    </row>
    <row r="16" spans="1:23" s="21" customFormat="1" ht="21">
      <c r="A16" s="38"/>
      <c r="B16" s="39"/>
      <c r="C16" s="40"/>
      <c r="D16" s="41"/>
      <c r="E16" s="42"/>
      <c r="F16" s="43"/>
      <c r="G16" s="44"/>
      <c r="H16" s="45"/>
      <c r="I16" s="19"/>
      <c r="J16" s="19"/>
      <c r="K16" s="20"/>
    </row>
    <row r="17" spans="1:11" s="21" customFormat="1" ht="21">
      <c r="A17" s="38"/>
      <c r="B17" s="39"/>
      <c r="C17" s="40"/>
      <c r="D17" s="41"/>
      <c r="E17" s="42"/>
      <c r="F17" s="43"/>
      <c r="G17" s="44">
        <f t="shared" ref="G17:G28" si="0">D17*F17</f>
        <v>0</v>
      </c>
      <c r="H17" s="45"/>
      <c r="I17" s="19"/>
      <c r="J17" s="19"/>
      <c r="K17" s="20"/>
    </row>
    <row r="18" spans="1:11" s="21" customFormat="1" ht="21">
      <c r="A18" s="38"/>
      <c r="B18" s="39"/>
      <c r="C18" s="40"/>
      <c r="D18" s="41"/>
      <c r="E18" s="42"/>
      <c r="F18" s="43"/>
      <c r="G18" s="44">
        <f t="shared" si="0"/>
        <v>0</v>
      </c>
      <c r="H18" s="45"/>
      <c r="I18" s="19"/>
      <c r="J18" s="19"/>
      <c r="K18" s="20"/>
    </row>
    <row r="19" spans="1:11" s="21" customFormat="1" ht="21">
      <c r="A19" s="38"/>
      <c r="B19" s="39"/>
      <c r="C19" s="40"/>
      <c r="D19" s="41"/>
      <c r="E19" s="42"/>
      <c r="F19" s="43"/>
      <c r="G19" s="44">
        <f t="shared" si="0"/>
        <v>0</v>
      </c>
      <c r="H19" s="45"/>
      <c r="I19" s="19"/>
      <c r="J19" s="19"/>
      <c r="K19" s="20"/>
    </row>
    <row r="20" spans="1:11" s="21" customFormat="1" ht="21">
      <c r="A20" s="38"/>
      <c r="B20" s="39"/>
      <c r="C20" s="40"/>
      <c r="D20" s="41"/>
      <c r="E20" s="42"/>
      <c r="F20" s="43"/>
      <c r="G20" s="44">
        <f t="shared" si="0"/>
        <v>0</v>
      </c>
      <c r="H20" s="45"/>
      <c r="I20" s="19"/>
      <c r="J20" s="19"/>
      <c r="K20" s="20"/>
    </row>
    <row r="21" spans="1:11" s="21" customFormat="1" ht="21">
      <c r="A21" s="38"/>
      <c r="B21" s="39"/>
      <c r="C21" s="40"/>
      <c r="D21" s="41"/>
      <c r="E21" s="42"/>
      <c r="F21" s="43"/>
      <c r="G21" s="44">
        <f t="shared" si="0"/>
        <v>0</v>
      </c>
      <c r="H21" s="45"/>
      <c r="I21" s="19"/>
      <c r="J21" s="19"/>
      <c r="K21" s="20"/>
    </row>
    <row r="22" spans="1:11" s="21" customFormat="1" ht="21">
      <c r="A22" s="38"/>
      <c r="B22" s="46"/>
      <c r="C22" s="47"/>
      <c r="D22" s="41"/>
      <c r="E22" s="42"/>
      <c r="F22" s="43"/>
      <c r="G22" s="44">
        <f t="shared" si="0"/>
        <v>0</v>
      </c>
      <c r="H22" s="45"/>
      <c r="I22" s="23"/>
      <c r="J22" s="23"/>
      <c r="K22" s="20"/>
    </row>
    <row r="23" spans="1:11" s="21" customFormat="1" ht="21">
      <c r="A23" s="38"/>
      <c r="B23" s="46"/>
      <c r="C23" s="40"/>
      <c r="D23" s="41"/>
      <c r="E23" s="42"/>
      <c r="F23" s="43"/>
      <c r="G23" s="44">
        <f t="shared" si="0"/>
        <v>0</v>
      </c>
      <c r="H23" s="45"/>
      <c r="I23" s="23"/>
      <c r="J23" s="23"/>
      <c r="K23" s="20"/>
    </row>
    <row r="24" spans="1:11" s="21" customFormat="1" ht="21">
      <c r="A24" s="38"/>
      <c r="B24" s="46"/>
      <c r="C24" s="47"/>
      <c r="D24" s="41"/>
      <c r="E24" s="42"/>
      <c r="F24" s="43"/>
      <c r="G24" s="44"/>
      <c r="H24" s="45"/>
      <c r="I24" s="23"/>
      <c r="J24" s="23"/>
      <c r="K24" s="20"/>
    </row>
    <row r="25" spans="1:11" s="21" customFormat="1" ht="21">
      <c r="A25" s="38"/>
      <c r="B25" s="46"/>
      <c r="C25" s="46"/>
      <c r="D25" s="41"/>
      <c r="E25" s="42"/>
      <c r="F25" s="43"/>
      <c r="G25" s="44">
        <f t="shared" si="0"/>
        <v>0</v>
      </c>
      <c r="H25" s="45"/>
      <c r="I25" s="23"/>
      <c r="J25" s="23"/>
      <c r="K25" s="20"/>
    </row>
    <row r="26" spans="1:11" s="21" customFormat="1" ht="21">
      <c r="A26" s="38"/>
      <c r="B26" s="46"/>
      <c r="C26" s="46"/>
      <c r="D26" s="41"/>
      <c r="E26" s="42"/>
      <c r="F26" s="43"/>
      <c r="G26" s="44">
        <f t="shared" si="0"/>
        <v>0</v>
      </c>
      <c r="H26" s="45"/>
      <c r="I26" s="23"/>
      <c r="J26" s="23"/>
      <c r="K26" s="20"/>
    </row>
    <row r="27" spans="1:11" s="21" customFormat="1" ht="21">
      <c r="A27" s="38"/>
      <c r="B27" s="46"/>
      <c r="C27" s="46"/>
      <c r="D27" s="41"/>
      <c r="E27" s="42"/>
      <c r="F27" s="43"/>
      <c r="G27" s="44">
        <f t="shared" si="0"/>
        <v>0</v>
      </c>
      <c r="H27" s="45"/>
      <c r="I27" s="23"/>
      <c r="J27" s="23"/>
      <c r="K27" s="20"/>
    </row>
    <row r="28" spans="1:11" s="21" customFormat="1" ht="21">
      <c r="A28" s="38"/>
      <c r="B28" s="46"/>
      <c r="C28" s="46"/>
      <c r="D28" s="41"/>
      <c r="E28" s="42"/>
      <c r="F28" s="43"/>
      <c r="G28" s="44">
        <f t="shared" si="0"/>
        <v>0</v>
      </c>
      <c r="H28" s="45"/>
      <c r="I28" s="23"/>
      <c r="J28" s="23"/>
      <c r="K28" s="20"/>
    </row>
    <row r="29" spans="1:11" s="21" customFormat="1" ht="21">
      <c r="A29" s="38"/>
      <c r="B29" s="38" t="s">
        <v>12</v>
      </c>
      <c r="C29" s="38"/>
      <c r="D29" s="48"/>
      <c r="E29" s="48"/>
      <c r="F29" s="48"/>
      <c r="G29" s="44">
        <f>SUM(G11:G28)</f>
        <v>0</v>
      </c>
      <c r="H29" s="42"/>
      <c r="I29" s="23"/>
      <c r="J29" s="23"/>
      <c r="K29" s="24"/>
    </row>
    <row r="30" spans="1:11" s="21" customFormat="1" ht="21">
      <c r="A30" s="14"/>
      <c r="B30" s="14"/>
      <c r="C30" s="14"/>
      <c r="D30" s="25"/>
      <c r="E30" s="25"/>
      <c r="F30" s="13" t="s">
        <v>42</v>
      </c>
      <c r="G30" s="37">
        <f>SUM(G11:G28)</f>
        <v>0</v>
      </c>
      <c r="H30" s="13"/>
      <c r="I30" s="23"/>
      <c r="J30" s="22"/>
      <c r="K30" s="22"/>
    </row>
    <row r="31" spans="1:11" s="21" customFormat="1" ht="21">
      <c r="A31" s="14"/>
      <c r="B31" s="14"/>
      <c r="C31" s="14"/>
      <c r="D31" s="25"/>
      <c r="E31" s="25"/>
      <c r="F31" s="13" t="s">
        <v>40</v>
      </c>
      <c r="G31" s="37">
        <f>G30*5%</f>
        <v>0</v>
      </c>
      <c r="H31" s="13"/>
      <c r="I31" s="23"/>
      <c r="J31" s="22"/>
      <c r="K31" s="22"/>
    </row>
    <row r="32" spans="1:11" s="21" customFormat="1" ht="21.75" thickBot="1">
      <c r="A32" s="14"/>
      <c r="B32" s="14"/>
      <c r="C32" s="14"/>
      <c r="D32" s="25"/>
      <c r="E32" s="25"/>
      <c r="F32" s="52" t="s">
        <v>41</v>
      </c>
      <c r="G32" s="53">
        <f>G30+G31</f>
        <v>0</v>
      </c>
      <c r="H32" s="13"/>
      <c r="I32" s="23"/>
      <c r="J32" s="22"/>
      <c r="K32" s="22"/>
    </row>
    <row r="33" spans="1:17" s="21" customFormat="1" ht="21">
      <c r="A33" s="25" t="s">
        <v>13</v>
      </c>
      <c r="B33" s="14"/>
      <c r="C33" s="14"/>
      <c r="D33" s="25"/>
      <c r="E33" s="25"/>
      <c r="F33" s="25"/>
      <c r="G33" s="25"/>
      <c r="H33" s="13"/>
      <c r="I33" s="22"/>
      <c r="J33" s="22"/>
      <c r="K33" s="22"/>
      <c r="L33" s="26"/>
      <c r="O33" s="27"/>
      <c r="Q33" s="28"/>
    </row>
    <row r="34" spans="1:17" s="21" customFormat="1" ht="21">
      <c r="A34" s="25"/>
      <c r="B34" s="59" t="s">
        <v>88</v>
      </c>
      <c r="C34" s="59"/>
      <c r="D34" s="29"/>
      <c r="E34" s="29"/>
      <c r="F34" s="29"/>
      <c r="G34" s="29"/>
      <c r="H34" s="29"/>
      <c r="I34" s="22"/>
      <c r="J34" s="22"/>
      <c r="K34" s="22"/>
      <c r="L34" s="26"/>
      <c r="O34" s="27"/>
      <c r="Q34" s="28"/>
    </row>
    <row r="35" spans="1:17" s="21" customFormat="1" ht="21" customHeight="1">
      <c r="A35" s="25"/>
      <c r="B35" s="59" t="s">
        <v>89</v>
      </c>
      <c r="C35" s="59"/>
      <c r="D35" s="59"/>
      <c r="E35" s="59"/>
      <c r="F35" s="59"/>
      <c r="G35" s="59"/>
      <c r="H35" s="30"/>
      <c r="I35" s="22"/>
      <c r="J35" s="22"/>
      <c r="K35" s="22"/>
      <c r="L35" s="26"/>
      <c r="O35" s="27"/>
      <c r="Q35" s="28"/>
    </row>
    <row r="36" spans="1:17" s="21" customFormat="1" ht="21">
      <c r="A36" s="25"/>
      <c r="B36" s="63" t="s">
        <v>90</v>
      </c>
      <c r="C36" s="63"/>
      <c r="D36" s="63"/>
      <c r="E36" s="63"/>
      <c r="F36" s="63"/>
      <c r="G36" s="30"/>
      <c r="H36" s="30"/>
      <c r="I36" s="22"/>
      <c r="J36" s="22"/>
      <c r="K36" s="22"/>
      <c r="L36" s="26"/>
      <c r="O36" s="27"/>
      <c r="Q36" s="28"/>
    </row>
    <row r="37" spans="1:17" s="21" customFormat="1" ht="21">
      <c r="A37" s="25"/>
      <c r="B37" s="63" t="s">
        <v>60</v>
      </c>
      <c r="C37" s="63"/>
      <c r="D37" s="63"/>
      <c r="E37" s="63"/>
      <c r="F37" s="63"/>
      <c r="G37" s="30"/>
      <c r="H37" s="30"/>
      <c r="I37" s="31"/>
      <c r="J37" s="32"/>
      <c r="K37" s="33"/>
      <c r="L37" s="26"/>
    </row>
    <row r="38" spans="1:17" s="21" customFormat="1" ht="21">
      <c r="A38" s="61"/>
      <c r="B38" s="63" t="s">
        <v>91</v>
      </c>
      <c r="C38" s="63"/>
      <c r="D38" s="63"/>
      <c r="E38" s="63"/>
      <c r="F38" s="63"/>
      <c r="G38" s="30"/>
      <c r="H38" s="30"/>
      <c r="I38" s="31"/>
      <c r="J38" s="32"/>
      <c r="K38" s="33"/>
      <c r="L38" s="26"/>
    </row>
    <row r="39" spans="1:17" s="21" customFormat="1" ht="21">
      <c r="A39" s="61"/>
      <c r="B39" s="63" t="s">
        <v>92</v>
      </c>
      <c r="C39" s="63"/>
      <c r="D39" s="63"/>
      <c r="E39" s="63"/>
      <c r="F39" s="63"/>
      <c r="G39" s="30"/>
      <c r="H39" s="30"/>
      <c r="I39" s="31"/>
      <c r="J39" s="32"/>
      <c r="K39" s="33"/>
      <c r="L39" s="26"/>
    </row>
    <row r="40" spans="1:17" s="21" customFormat="1" ht="21">
      <c r="A40" s="25"/>
      <c r="B40" s="30"/>
      <c r="C40" s="30"/>
      <c r="D40" s="30"/>
      <c r="E40" s="30"/>
      <c r="F40" s="30"/>
      <c r="G40" s="30"/>
      <c r="H40" s="30"/>
      <c r="I40" s="35"/>
      <c r="L40" s="26"/>
    </row>
    <row r="41" spans="1:17" s="21" customFormat="1" ht="21">
      <c r="A41" s="25"/>
      <c r="B41" s="30"/>
      <c r="C41" s="29"/>
      <c r="D41" s="30"/>
      <c r="E41" s="30"/>
      <c r="F41" s="30"/>
      <c r="G41" s="30"/>
      <c r="H41" s="30"/>
      <c r="I41" s="35"/>
      <c r="L41" s="26"/>
    </row>
    <row r="42" spans="1:17" s="21" customFormat="1" ht="21">
      <c r="A42" s="25"/>
      <c r="B42" s="29"/>
      <c r="C42" s="29"/>
      <c r="D42" s="29"/>
      <c r="E42" s="29"/>
      <c r="F42" s="29"/>
      <c r="G42" s="29"/>
      <c r="H42" s="29"/>
      <c r="L42" s="36"/>
    </row>
    <row r="43" spans="1:17" s="21" customFormat="1" ht="21">
      <c r="A43" s="25"/>
      <c r="B43" s="29" t="s">
        <v>73</v>
      </c>
      <c r="C43" s="29"/>
      <c r="E43" s="29"/>
      <c r="F43" s="29" t="s">
        <v>74</v>
      </c>
      <c r="G43" s="29"/>
      <c r="H43" s="29"/>
      <c r="L43" s="36"/>
    </row>
    <row r="44" spans="1:17" s="21" customFormat="1" ht="21">
      <c r="A44" s="25"/>
      <c r="G44" s="29"/>
      <c r="H44" s="29"/>
      <c r="L44" s="36"/>
    </row>
    <row r="45" spans="1:17" s="21" customFormat="1" ht="21">
      <c r="A45" s="25"/>
      <c r="G45" s="29"/>
      <c r="H45" s="29"/>
      <c r="L45" s="36"/>
    </row>
    <row r="46" spans="1:17" s="21" customFormat="1" ht="21">
      <c r="A46" s="25"/>
      <c r="B46" s="29"/>
      <c r="C46" s="29"/>
      <c r="D46" s="29"/>
      <c r="E46" s="29"/>
      <c r="F46" s="29"/>
      <c r="G46" s="29"/>
      <c r="H46" s="29"/>
      <c r="L46" s="36"/>
    </row>
    <row r="47" spans="1:17" s="21" customFormat="1" ht="21">
      <c r="A47" s="25"/>
      <c r="B47" s="29"/>
      <c r="C47" s="29"/>
      <c r="D47" s="29"/>
      <c r="E47" s="29"/>
      <c r="F47" s="29"/>
      <c r="G47" s="29"/>
      <c r="H47" s="29" t="s">
        <v>83</v>
      </c>
      <c r="L47" s="36"/>
    </row>
    <row r="48" spans="1:17" s="21" customFormat="1" ht="21">
      <c r="A48" s="25"/>
      <c r="B48" s="29"/>
      <c r="C48" s="29"/>
      <c r="D48" s="29"/>
      <c r="E48" s="29"/>
      <c r="F48" s="29"/>
      <c r="G48" s="29"/>
      <c r="H48" s="29"/>
      <c r="L48" s="36"/>
    </row>
  </sheetData>
  <mergeCells count="14">
    <mergeCell ref="D1:E1"/>
    <mergeCell ref="G4:H4"/>
    <mergeCell ref="G7:H7"/>
    <mergeCell ref="G8:H8"/>
    <mergeCell ref="G9:H9"/>
    <mergeCell ref="A38:A39"/>
    <mergeCell ref="G6:H6"/>
    <mergeCell ref="G5:H5"/>
    <mergeCell ref="B35:G35"/>
    <mergeCell ref="B36:F36"/>
    <mergeCell ref="B37:F37"/>
    <mergeCell ref="B38:F38"/>
    <mergeCell ref="B39:F39"/>
    <mergeCell ref="B34:C34"/>
  </mergeCells>
  <phoneticPr fontId="1" type="noConversion"/>
  <printOptions horizontalCentered="1"/>
  <pageMargins left="0.31496062992125984" right="0.11811023622047245" top="0" bottom="0.15748031496062992" header="0" footer="0"/>
  <pageSetup paperSize="9" scale="80" orientation="portrait" r:id="rId1"/>
  <headerFooter>
    <oddFooter>&amp;R&amp;G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5</vt:i4>
      </vt:variant>
    </vt:vector>
  </HeadingPairs>
  <TitlesOfParts>
    <vt:vector size="10" baseType="lpstr">
      <vt:lpstr>CNS</vt:lpstr>
      <vt:lpstr>一般架</vt:lpstr>
      <vt:lpstr>船用</vt:lpstr>
      <vt:lpstr>空白</vt:lpstr>
      <vt:lpstr>銷售報價單(報價單號前會多一個S)</vt:lpstr>
      <vt:lpstr>CNS!Print_Area</vt:lpstr>
      <vt:lpstr>一般架!Print_Area</vt:lpstr>
      <vt:lpstr>空白!Print_Area</vt:lpstr>
      <vt:lpstr>船用!Print_Area</vt:lpstr>
      <vt:lpstr>'銷售報價單(報價單號前會多一個S)'!Print_Area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Super</cp:lastModifiedBy>
  <cp:lastPrinted>2026-07-06T06:53:16Z</cp:lastPrinted>
  <dcterms:created xsi:type="dcterms:W3CDTF">2012-10-05T06:57:10Z</dcterms:created>
  <dcterms:modified xsi:type="dcterms:W3CDTF">2026-08-11T02:15:50Z</dcterms:modified>
</cp:coreProperties>
</file>