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assets-manager-linebot\outputs\excel-templates\"/>
    </mc:Choice>
  </mc:AlternateContent>
  <xr:revisionPtr revIDLastSave="0" documentId="13_ncr:1_{5872419B-C2BA-49F6-8E9B-B7C34B5E6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船用" sheetId="12" r:id="rId1"/>
  </sheets>
  <definedNames>
    <definedName name="_xlnm._FilterDatabase" localSheetId="0" hidden="1">船用!$A$10:$K$25</definedName>
    <definedName name="_xlnm.Print_Area" localSheetId="0">船用!$A$1:$H$41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2" l="1"/>
  <c r="G22" i="12"/>
  <c r="G21" i="12"/>
  <c r="G20" i="12"/>
  <c r="G19" i="12"/>
  <c r="G18" i="12"/>
  <c r="G17" i="12"/>
  <c r="G16" i="12"/>
  <c r="G15" i="12"/>
  <c r="G14" i="12"/>
  <c r="G13" i="12"/>
  <c r="G12" i="12"/>
  <c r="G11" i="12"/>
  <c r="G25" i="12" l="1"/>
  <c r="G26" i="12" s="1"/>
  <c r="G27" i="12" s="1"/>
  <c r="G24" i="12"/>
</calcChain>
</file>

<file path=xl/sharedStrings.xml><?xml version="1.0" encoding="utf-8"?>
<sst xmlns="http://schemas.openxmlformats.org/spreadsheetml/2006/main" count="120" uniqueCount="120">
  <si>
    <t>NO.</t>
    <phoneticPr fontId="1" type="noConversion"/>
  </si>
  <si>
    <t>zd0975305717@gmail.com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</si>
  <si>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</si>
  <si>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</si>
  <si>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</si>
  <si>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</si>
  <si>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</si>
  <si>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以下空白</t>
    <phoneticPr fontId="1" type="noConversion"/>
  </si>
  <si>
    <t>承攬交易條件：</t>
    <phoneticPr fontId="1" type="noConversion"/>
  </si>
  <si>
    <t>報價日期:</t>
    <phoneticPr fontId="1" type="noConversion"/>
  </si>
  <si>
    <t>規格/說明</t>
    <phoneticPr fontId="1" type="noConversion"/>
  </si>
  <si>
    <t>稅額:</t>
    <phoneticPr fontId="1" type="noConversion"/>
  </si>
  <si>
    <t>含稅:</t>
    <phoneticPr fontId="1" type="noConversion"/>
  </si>
  <si>
    <t>未稅:</t>
    <phoneticPr fontId="1" type="noConversion"/>
  </si>
  <si>
    <t>1.搭設完成如有需改架點工($4000)計價。</t>
    <phoneticPr fontId="1" type="noConversion"/>
  </si>
  <si>
    <t>2.搭架及附件計價以統包為準。</t>
    <phoneticPr fontId="1" type="noConversion"/>
  </si>
  <si>
    <t>4.以上報價不含營業稅金，稅外加。</t>
    <phoneticPr fontId="1" type="noConversion"/>
  </si>
  <si>
    <t>NO:</t>
    <phoneticPr fontId="1" type="noConversion"/>
  </si>
  <si>
    <t>客戶名稱:</t>
    <phoneticPr fontId="1" type="noConversion"/>
  </si>
  <si>
    <t>公司電話:</t>
    <phoneticPr fontId="1" type="noConversion"/>
  </si>
  <si>
    <t>公司信箱:</t>
    <phoneticPr fontId="1" type="noConversion"/>
  </si>
  <si>
    <t>聯絡人及電話:</t>
    <phoneticPr fontId="1" type="noConversion"/>
  </si>
  <si>
    <t>工程地點:</t>
    <phoneticPr fontId="1" type="noConversion"/>
  </si>
  <si>
    <t>品項</t>
    <phoneticPr fontId="1" type="noConversion"/>
  </si>
  <si>
    <t>業務承辦:</t>
    <phoneticPr fontId="1" type="noConversion"/>
  </si>
  <si>
    <t>正定信箱:</t>
    <phoneticPr fontId="1" type="noConversion"/>
  </si>
  <si>
    <t>報價經辦</t>
    <phoneticPr fontId="1" type="noConversion"/>
  </si>
  <si>
    <t>客戶回簽</t>
    <phoneticPr fontId="1" type="noConversion"/>
  </si>
  <si>
    <t>6.正常施工時間平日08:00-17:00，如夜間、凌晨搭設則另外計價。
夜間搭設17:00-19:00(每人$800/H * 1.33)19:00-24:00(每人$800/H * 1.67)，凌晨搭24:00-8:00(每人$800/H * 2)
7.假日施工則另外計價。日間搭設8:00-17:00每人$1600/H 
夜間搭設17:00-19:00(每人$1600/H * 1.33)19:00-24:00(每人$1600/H * 1.67)，凌晨搭設24:00-8:00(每人$1600/H * 2)</t>
    <phoneticPr fontId="1" type="noConversion"/>
  </si>
  <si>
    <t>正定電話:</t>
    <phoneticPr fontId="1" type="noConversion"/>
  </si>
  <si>
    <t>04-26380655  正定傳真:04-26380605</t>
    <phoneticPr fontId="1" type="noConversion"/>
  </si>
  <si>
    <t>回簽日期:</t>
    <phoneticPr fontId="1" type="noConversion"/>
  </si>
  <si>
    <t xml:space="preserve">3.付款方式：以匯款(當月底匯款) 支付，搭設完成請領100% 。 </t>
    <phoneticPr fontId="1" type="noConversion"/>
  </si>
  <si>
    <t>{{customerName}}</t>
  </si>
  <si>
    <t>{{quoteNo}}</t>
    <phoneticPr fontId="1" type="noConversion"/>
  </si>
  <si>
    <t>{{customerPhone}}</t>
  </si>
  <si>
    <t>{{quoteDate}}</t>
  </si>
  <si>
    <t>{{customerEmail}}</t>
  </si>
  <si>
    <t>{{salesRep}}</t>
    <phoneticPr fontId="1" type="noConversion"/>
  </si>
  <si>
    <t>{{contact}}</t>
  </si>
  <si>
    <t>{{projectSite}}</t>
  </si>
  <si>
    <t>{{itemName01}}</t>
  </si>
  <si>
    <t>{{spec01}}</t>
  </si>
  <si>
    <t>{{qty01}}</t>
  </si>
  <si>
    <t>{{u01}}</t>
  </si>
  <si>
    <t>{{price01}}</t>
  </si>
  <si>
    <t>{{note01}}</t>
  </si>
  <si>
    <t>{{itemName02}}</t>
  </si>
  <si>
    <t>{{spec02}}</t>
  </si>
  <si>
    <t>{{qty02}}</t>
  </si>
  <si>
    <t>{{u02}}</t>
  </si>
  <si>
    <t>{{price02}}</t>
  </si>
  <si>
    <t>{{note02}}</t>
  </si>
  <si>
    <t>{{itemName03}}</t>
  </si>
  <si>
    <t>{{spec03}}</t>
  </si>
  <si>
    <t>{{qty03}}</t>
  </si>
  <si>
    <t>{{u03}}</t>
  </si>
  <si>
    <t>{{price03}}</t>
  </si>
  <si>
    <t>{{note03}}</t>
  </si>
  <si>
    <t>{{itemName04}}</t>
  </si>
  <si>
    <t>{{spec04}}</t>
  </si>
  <si>
    <t>{{qty04}}</t>
  </si>
  <si>
    <t>{{u04}}</t>
  </si>
  <si>
    <t>{{price04}}</t>
  </si>
  <si>
    <t>{{note04}}</t>
  </si>
  <si>
    <t>{{itemName05}}</t>
  </si>
  <si>
    <t>{{spec05}}</t>
  </si>
  <si>
    <t>{{qty05}}</t>
  </si>
  <si>
    <t>{{u05}}</t>
  </si>
  <si>
    <t>{{price05}}</t>
  </si>
  <si>
    <t>{{note05}}</t>
  </si>
  <si>
    <t>{{itemName06}}</t>
  </si>
  <si>
    <t>{{spec06}}</t>
  </si>
  <si>
    <t>{{qty06}}</t>
  </si>
  <si>
    <t>{{u06}}</t>
  </si>
  <si>
    <t>{{price06}}</t>
  </si>
  <si>
    <t>{{note06}}</t>
  </si>
  <si>
    <t>{{itemName07}}</t>
  </si>
  <si>
    <t>{{spec07}}</t>
  </si>
  <si>
    <t>{{qty07}}</t>
  </si>
  <si>
    <t>{{u07}}</t>
  </si>
  <si>
    <t>{{price07}}</t>
  </si>
  <si>
    <t>{{note07}}</t>
  </si>
  <si>
    <t>{{itemName08}}</t>
  </si>
  <si>
    <t>{{spec08}}</t>
  </si>
  <si>
    <t>{{qty08}}</t>
  </si>
  <si>
    <t>{{u08}}</t>
  </si>
  <si>
    <t>{{price08}}</t>
  </si>
  <si>
    <t>{{note08}}</t>
  </si>
  <si>
    <t>{{itemName09}}</t>
  </si>
  <si>
    <t>{{spec09}}</t>
  </si>
  <si>
    <t>{{qty09}}</t>
  </si>
  <si>
    <t>{{u09}}</t>
  </si>
  <si>
    <t>{{price09}}</t>
  </si>
  <si>
    <t>{{note09}}</t>
  </si>
  <si>
    <t>{{itemName10}}</t>
  </si>
  <si>
    <t>{{spec10}}</t>
  </si>
  <si>
    <t>{{qty10}}</t>
  </si>
  <si>
    <t>{{u10}}</t>
  </si>
  <si>
    <t>{{price10}}</t>
  </si>
  <si>
    <t>{{note10}}</t>
  </si>
  <si>
    <t>{{itemName11}}</t>
  </si>
  <si>
    <t>{{spec11}}</t>
  </si>
  <si>
    <t>{{qty11}}</t>
  </si>
  <si>
    <t>{{u11}}</t>
  </si>
  <si>
    <t>{{price11}}</t>
  </si>
  <si>
    <t>{{note11}}</t>
  </si>
  <si>
    <t>{{itemName12}}</t>
  </si>
  <si>
    <t>{{spec12}}</t>
  </si>
  <si>
    <t>{{qty12}}</t>
  </si>
  <si>
    <t>{{u12}}</t>
  </si>
  <si>
    <t>{{price12}}</t>
  </si>
  <si>
    <t>{{note12}}</t>
  </si>
  <si>
    <t>{{itemName13}}</t>
  </si>
  <si>
    <t>{{spec13}}</t>
  </si>
  <si>
    <t>{{qty13}}</t>
  </si>
  <si>
    <t>{{u13}}</t>
  </si>
  <si>
    <t>{{price13}}</t>
  </si>
  <si>
    <t>{{note13}}</t>
  </si>
  <si>
    <t>5.本報價單有效期限至{{validUntil}}止。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</si>
</sst>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_ "/>
    <numFmt numFmtId="177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Noto Sans TC"/>
      <family val="2"/>
      <charset val="136"/>
    </font>
    <font>
      <sz val="20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b/>
      <u/>
      <sz val="18"/>
      <color rgb="FF495366"/>
      <name val="Noto Sans TC"/>
      <family val="2"/>
      <charset val="136"/>
    </font>
    <font>
      <sz val="12"/>
      <color rgb="FF495366"/>
      <name val="Noto Sans TC"/>
      <family val="2"/>
      <charset val="136"/>
    </font>
    <font>
      <sz val="10"/>
      <color rgb="FF495366"/>
      <name val="Noto Sans TC"/>
      <family val="2"/>
      <charset val="136"/>
    </font>
    <font>
      <sz val="12"/>
      <color rgb="FF495366"/>
      <name val="標楷體"/>
      <family val="4"/>
      <charset val="136"/>
    </font>
    <font>
      <b/>
      <sz val="12"/>
      <color rgb="FFF1C400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95366"/>
        <bgColor indexed="64"/>
      </patternFill>
    </fill>
  </fills>
  <borders count="4">
    <border>
      <left/>
      <right/>
      <top/>
      <bottom/>
      <diagonal/>
    </border>
    <border>
      <left style="thin">
        <color rgb="FF495366"/>
      </left>
      <right style="thin">
        <color rgb="FF495366"/>
      </right>
      <top style="thin">
        <color rgb="FF495366"/>
      </top>
      <bottom style="thin">
        <color rgb="FF495366"/>
      </bottom>
      <diagonal/>
    </border>
    <border>
      <left/>
      <right/>
      <top/>
      <bottom style="medium">
        <color rgb="FF495366"/>
      </bottom>
      <diagonal/>
    </border>
    <border>
      <left/>
      <right/>
      <top/>
      <bottom style="thin">
        <color rgb="FF495366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177" fontId="10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1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2" borderId="0" xfId="0" applyFont="1" applyFill="1">
      <alignment vertical="center"/>
    </xf>
    <xf numFmtId="2" fontId="12" fillId="0" borderId="0" xfId="0" applyNumberFormat="1" applyFont="1">
      <alignment vertical="center"/>
    </xf>
    <xf numFmtId="43" fontId="12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" fontId="12" fillId="2" borderId="0" xfId="0" applyNumberFormat="1" applyFont="1" applyFill="1">
      <alignment vertical="center"/>
    </xf>
    <xf numFmtId="176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77" fontId="10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7" fontId="10" fillId="0" borderId="1" xfId="2" applyNumberFormat="1" applyFont="1" applyFill="1" applyBorder="1" applyAlignment="1">
      <alignment horizontal="center" vertical="center"/>
    </xf>
    <xf numFmtId="177" fontId="10" fillId="0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right" vertical="center"/>
    </xf>
    <xf numFmtId="14" fontId="10" fillId="0" borderId="0" xfId="0" applyNumberFormat="1" applyFont="1" applyAlignment="1">
      <alignment horizontal="left" vertical="center" wrapText="1" shrinkToFit="1"/>
    </xf>
    <xf numFmtId="14" fontId="10" fillId="0" borderId="3" xfId="0" applyNumberFormat="1" applyFont="1" applyBorder="1" applyAlignment="1">
      <alignment horizontal="left" vertical="center" wrapText="1" shrinkToFit="1"/>
    </xf>
    <xf numFmtId="0" fontId="13" fillId="3" borderId="2" xfId="0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14" fontId="10" fillId="0" borderId="0" xfId="0" applyNumberFormat="1" applyFont="1" applyAlignment="1">
      <alignment horizontal="left" vertical="center" wrapText="1" shrinkToFit="1"/>
    </xf>
    <xf numFmtId="177" fontId="10" fillId="0" borderId="0" xfId="2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right" vertical="center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colors>
    <mruColors>
      <color rgb="FFF1C400"/>
      <color rgb="FF495366"/>
      <color rgb="FFF6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832758</xdr:colOff>
      <xdr:row>35</xdr:row>
      <xdr:rowOff>129493</xdr:rowOff>
    </xdr:from>
    <xdr:to>
      <xdr:col>2</xdr:col>
      <xdr:colOff>771525</xdr:colOff>
      <xdr:row>39</xdr:row>
      <xdr:rowOff>168924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1C00C9D-8DBE-1FFA-CC41-F04419782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579" y="12443957"/>
          <a:ext cx="1707696" cy="1128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585108</xdr:rowOff>
    </xdr:from>
    <xdr:to>
      <xdr:col>7</xdr:col>
      <xdr:colOff>2041071</xdr:colOff>
      <xdr:row>2</xdr:row>
      <xdr:rowOff>294681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0E877F5-30BD-454F-BA8C-CCB09EB2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5108"/>
          <a:ext cx="8899071" cy="564102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244927</xdr:colOff>
      <xdr:row>0</xdr:row>
      <xdr:rowOff>258534</xdr:rowOff>
    </xdr:from>
    <xdr:to>
      <xdr:col>2</xdr:col>
      <xdr:colOff>83558</xdr:colOff>
      <xdr:row>2</xdr:row>
      <xdr:rowOff>136071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F8940BC-C8B2-ECCA-1C37-1DA08430E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7" y="258534"/>
          <a:ext cx="2029381" cy="598716"/>
        </a:xfrm>
        <a:prstGeom prst="rect">
          <a:avLst/>
        </a:prstGeom>
      </xdr:spPr>
    </xdr:pic>
    <xdr:clientData/>
  </xdr:twoCellAnchor>
  <xdr:oneCellAnchor>
    <xdr:from>
      <xdr:col>6</xdr:col>
      <xdr:colOff>435429</xdr:colOff>
      <xdr:row>1</xdr:row>
      <xdr:rowOff>54429</xdr:rowOff>
    </xdr:from>
    <xdr:ext cx="1031051" cy="623440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33618747-EB14-E13F-DD6E-7F153D119F87}"/>
            </a:ext>
          </a:extLst>
        </xdr:cNvPr>
        <xdr:cNvSpPr txBox="1"/>
      </xdr:nvSpPr>
      <xdr:spPr>
        <a:xfrm>
          <a:off x="6300108" y="503465"/>
          <a:ext cx="1031051" cy="62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200" b="1" u="none">
              <a:solidFill>
                <a:srgbClr val="495366"/>
              </a:solidFill>
              <a:latin typeface="Noto Sans TC" panose="020B0200000000000000" pitchFamily="34" charset="-120"/>
              <a:ea typeface="Noto Sans TC" panose="020B0200000000000000" pitchFamily="34" charset="-120"/>
            </a:rPr>
            <a:t>報價單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F841-8CFE-4671-A66D-46F7D84978A1}">
  <sheetPr codeName="工作表5"/>
  <dimension ref="A1:W41"/>
  <sheetViews>
    <sheetView tabSelected="1" view="pageBreakPreview" zoomScaleNormal="100" zoomScaleSheetLayoutView="100" workbookViewId="0">
      <selection activeCell="B4" sqref="B4:B8"/>
    </sheetView>
  </sheetViews>
  <sheetFormatPr defaultColWidth="9" defaultRowHeight="20.100000000000001" customHeight="1" x14ac:dyDescent="0.25"/>
  <cols>
    <col min="1" max="1" width="5.5" style="4" customWidth="1"/>
    <col min="2" max="2" width="23.25" style="4" customWidth="1"/>
    <col min="3" max="3" width="17.75" style="4" customWidth="1"/>
    <col min="4" max="4" width="9.875" style="4" customWidth="1"/>
    <col min="5" max="5" width="5.75" style="4" customWidth="1"/>
    <col min="6" max="6" width="15" style="4" customWidth="1"/>
    <col min="7" max="7" width="13" style="4" customWidth="1"/>
    <col min="8" max="8" width="26.875" style="5" customWidth="1"/>
    <col min="9" max="9" width="13" style="5" customWidth="1"/>
    <col min="10" max="10" width="15.625" style="5" customWidth="1"/>
    <col min="11" max="11" width="13.625" style="5" customWidth="1"/>
    <col min="12" max="12" width="9.375" style="6" customWidth="1"/>
    <col min="13" max="13" width="5.75" style="4" customWidth="1"/>
    <col min="14" max="14" width="11.625" style="4" customWidth="1"/>
    <col min="15" max="16" width="9" style="4"/>
    <col min="17" max="17" width="12.75" style="4" bestFit="1" customWidth="1"/>
    <col min="18" max="20" width="9" style="4"/>
    <col min="21" max="21" width="13.5" style="4" customWidth="1"/>
    <col min="22" max="16384" width="9" style="4"/>
  </cols>
  <sheetData>
    <row r="1" spans="1:23" s="1" customFormat="1" ht="35.25" customHeight="1" x14ac:dyDescent="0.25">
      <c r="A1" s="8"/>
      <c r="B1" s="9"/>
      <c r="C1" s="8"/>
      <c r="D1" s="55"/>
      <c r="E1" s="55"/>
      <c r="F1" s="10"/>
      <c r="G1" s="11"/>
      <c r="H1" s="11"/>
      <c r="I1" s="3"/>
      <c r="J1" s="2"/>
      <c r="L1" s="7"/>
      <c r="O1" s="4"/>
      <c r="P1" s="4"/>
      <c r="Q1" s="4"/>
      <c r="R1" s="4"/>
      <c r="S1" s="4"/>
      <c r="T1" s="4"/>
      <c r="U1" s="4"/>
      <c r="V1" s="4"/>
      <c r="W1" s="4"/>
    </row>
    <row r="2" spans="1:23" s="20" customFormat="1" ht="21" x14ac:dyDescent="0.25">
      <c r="A2" s="12"/>
      <c r="B2" s="13"/>
      <c r="C2" s="14"/>
      <c r="D2" s="15"/>
      <c r="E2" s="16"/>
      <c r="F2" s="17"/>
      <c r="I2" s="18"/>
      <c r="J2" s="18"/>
      <c r="K2" s="19"/>
    </row>
    <row r="3" spans="1:23" s="20" customFormat="1" ht="28.5" customHeight="1" x14ac:dyDescent="0.25">
      <c r="A3" s="12"/>
      <c r="B3" s="13"/>
      <c r="C3" s="14"/>
      <c r="D3" s="15"/>
      <c r="E3" s="16"/>
      <c r="F3" s="17"/>
      <c r="I3" s="18"/>
      <c r="J3" s="18"/>
      <c r="K3" s="19"/>
    </row>
    <row r="4" spans="1:23" s="20" customFormat="1" ht="21" x14ac:dyDescent="0.25">
      <c r="B4" s="59" t="s">
        <v>18</v>
      </c>
      <c r="C4" s="14" t="s">
        <v>33</v>
      </c>
      <c r="D4" s="15"/>
      <c r="E4" s="16"/>
      <c r="F4" s="48" t="s">
        <v>17</v>
      </c>
      <c r="G4" s="58" t="s">
        <v>34</v>
      </c>
      <c r="H4" s="58"/>
      <c r="I4" s="18"/>
      <c r="J4" s="18"/>
      <c r="K4" s="19"/>
    </row>
    <row r="5" spans="1:23" s="20" customFormat="1" ht="42" x14ac:dyDescent="0.25">
      <c r="B5" s="59" t="s">
        <v>19</v>
      </c>
      <c r="C5" s="14" t="s">
        <v>35</v>
      </c>
      <c r="D5" s="15"/>
      <c r="E5" s="16"/>
      <c r="F5" s="48" t="s">
        <v>9</v>
      </c>
      <c r="G5" s="49" t="s">
        <v>36</v>
      </c>
      <c r="I5" s="18"/>
      <c r="J5" s="18"/>
      <c r="K5" s="19"/>
    </row>
    <row r="6" spans="1:23" s="20" customFormat="1" ht="21" customHeight="1" x14ac:dyDescent="0.25">
      <c r="B6" s="59" t="s">
        <v>20</v>
      </c>
      <c r="C6" s="14" t="s">
        <v>37</v>
      </c>
      <c r="D6" s="15"/>
      <c r="E6" s="16"/>
      <c r="F6" s="48" t="s">
        <v>24</v>
      </c>
      <c r="G6" s="49" t="s">
        <v>38</v>
      </c>
      <c r="H6" s="49"/>
      <c r="I6" s="18"/>
      <c r="J6" s="18"/>
      <c r="K6" s="19"/>
    </row>
    <row r="7" spans="1:23" s="20" customFormat="1" ht="21" customHeight="1" x14ac:dyDescent="0.25">
      <c r="B7" s="59" t="s">
        <v>21</v>
      </c>
      <c r="C7" s="14" t="s">
        <v>39</v>
      </c>
      <c r="D7" s="15"/>
      <c r="E7" s="16"/>
      <c r="F7" s="48" t="s">
        <v>25</v>
      </c>
      <c r="G7" s="53" t="s">
        <v>1</v>
      </c>
      <c r="H7" s="53"/>
      <c r="I7" s="18"/>
      <c r="J7" s="18"/>
      <c r="K7" s="19"/>
    </row>
    <row r="8" spans="1:23" s="20" customFormat="1" ht="21" customHeight="1" x14ac:dyDescent="0.25">
      <c r="B8" s="59" t="s">
        <v>22</v>
      </c>
      <c r="C8" s="24" t="s">
        <v>40</v>
      </c>
      <c r="D8" s="24"/>
      <c r="E8" s="16"/>
      <c r="F8" s="48" t="s">
        <v>29</v>
      </c>
      <c r="G8" s="54" t="s">
        <v>30</v>
      </c>
      <c r="H8" s="54"/>
      <c r="I8" s="18"/>
      <c r="J8" s="18"/>
      <c r="K8" s="19"/>
    </row>
    <row r="9" spans="1:23" s="20" customFormat="1" ht="21" x14ac:dyDescent="0.25">
      <c r="B9" s="24"/>
      <c r="C9" s="24"/>
      <c r="D9" s="24"/>
      <c r="E9" s="16"/>
      <c r="F9" s="48"/>
      <c r="G9" s="50"/>
      <c r="H9" s="50"/>
      <c r="I9" s="18"/>
      <c r="J9" s="18"/>
      <c r="K9" s="19"/>
    </row>
    <row r="10" spans="1:23" s="21" customFormat="1" ht="21" x14ac:dyDescent="0.25">
      <c r="A10" s="37" t="s">
        <v>0</v>
      </c>
      <c r="B10" s="37" t="s">
        <v>23</v>
      </c>
      <c r="C10" s="37" t="s">
        <v>10</v>
      </c>
      <c r="D10" s="37" t="s">
        <v>2</v>
      </c>
      <c r="E10" s="37" t="s">
        <v>3</v>
      </c>
      <c r="F10" s="37" t="s">
        <v>4</v>
      </c>
      <c r="G10" s="37" t="s">
        <v>5</v>
      </c>
      <c r="H10" s="37" t="s">
        <v>6</v>
      </c>
      <c r="P10" s="20"/>
      <c r="Q10" s="20"/>
      <c r="R10" s="20"/>
      <c r="S10" s="20"/>
      <c r="T10" s="20"/>
    </row>
    <row r="11" spans="1:23" s="20" customFormat="1" ht="21" x14ac:dyDescent="0.25">
      <c r="A11" s="37">
        <v>1</v>
      </c>
      <c r="B11" s="38" t="s">
        <v>41</v>
      </c>
      <c r="C11" s="39" t="s">
        <v>42</v>
      </c>
      <c r="D11" s="40" t="s">
        <v>43</v>
      </c>
      <c r="E11" s="41" t="s">
        <v>44</v>
      </c>
      <c r="F11" s="42" t="s">
        <v>45</v>
      </c>
      <c r="G11" s="43">
        <f t="shared" ref="G11:G23" si="0">IFERROR(D11*F11,0)</f>
        <v>0</v>
      </c>
      <c r="H11" s="44" t="s">
        <v>46</v>
      </c>
      <c r="I11" s="18"/>
      <c r="J11" s="18"/>
      <c r="K11" s="19"/>
    </row>
    <row r="12" spans="1:23" s="20" customFormat="1" ht="21" x14ac:dyDescent="0.25">
      <c r="A12" s="37">
        <v>2</v>
      </c>
      <c r="B12" s="38" t="s">
        <v>47</v>
      </c>
      <c r="C12" s="39" t="s">
        <v>48</v>
      </c>
      <c r="D12" s="40" t="s">
        <v>49</v>
      </c>
      <c r="E12" s="41" t="s">
        <v>50</v>
      </c>
      <c r="F12" s="42" t="s">
        <v>51</v>
      </c>
      <c r="G12" s="43">
        <f t="shared" si="0"/>
        <v>0</v>
      </c>
      <c r="H12" s="44" t="s">
        <v>52</v>
      </c>
      <c r="I12" s="18"/>
      <c r="J12" s="18"/>
      <c r="K12" s="19"/>
    </row>
    <row r="13" spans="1:23" s="20" customFormat="1" ht="21" x14ac:dyDescent="0.25">
      <c r="A13" s="37">
        <v>3</v>
      </c>
      <c r="B13" s="38" t="s">
        <v>53</v>
      </c>
      <c r="C13" s="39" t="s">
        <v>54</v>
      </c>
      <c r="D13" s="40" t="s">
        <v>55</v>
      </c>
      <c r="E13" s="41" t="s">
        <v>56</v>
      </c>
      <c r="F13" s="42" t="s">
        <v>57</v>
      </c>
      <c r="G13" s="43">
        <f t="shared" si="0"/>
        <v>0</v>
      </c>
      <c r="H13" s="44" t="s">
        <v>58</v>
      </c>
      <c r="I13" s="18"/>
      <c r="J13" s="18"/>
      <c r="K13" s="19"/>
    </row>
    <row r="14" spans="1:23" s="20" customFormat="1" ht="21" x14ac:dyDescent="0.25">
      <c r="A14" s="37">
        <v>4</v>
      </c>
      <c r="B14" s="38" t="s">
        <v>59</v>
      </c>
      <c r="C14" s="39" t="s">
        <v>60</v>
      </c>
      <c r="D14" s="40" t="s">
        <v>61</v>
      </c>
      <c r="E14" s="41" t="s">
        <v>62</v>
      </c>
      <c r="F14" s="42" t="s">
        <v>63</v>
      </c>
      <c r="G14" s="43">
        <f t="shared" si="0"/>
        <v>0</v>
      </c>
      <c r="H14" s="44" t="s">
        <v>64</v>
      </c>
      <c r="I14" s="18"/>
      <c r="J14" s="18"/>
      <c r="K14" s="19"/>
    </row>
    <row r="15" spans="1:23" s="20" customFormat="1" ht="21" x14ac:dyDescent="0.25">
      <c r="A15" s="37">
        <v>5</v>
      </c>
      <c r="B15" s="38" t="s">
        <v>65</v>
      </c>
      <c r="C15" s="39" t="s">
        <v>66</v>
      </c>
      <c r="D15" s="40" t="s">
        <v>67</v>
      </c>
      <c r="E15" s="41" t="s">
        <v>68</v>
      </c>
      <c r="F15" s="42" t="s">
        <v>69</v>
      </c>
      <c r="G15" s="43">
        <f t="shared" si="0"/>
        <v>0</v>
      </c>
      <c r="H15" s="44" t="s">
        <v>70</v>
      </c>
      <c r="I15" s="18"/>
      <c r="J15" s="18"/>
      <c r="K15" s="19"/>
    </row>
    <row r="16" spans="1:23" s="20" customFormat="1" ht="21" x14ac:dyDescent="0.25">
      <c r="A16" s="37">
        <v>6</v>
      </c>
      <c r="B16" s="38" t="s">
        <v>71</v>
      </c>
      <c r="C16" s="39" t="s">
        <v>72</v>
      </c>
      <c r="D16" s="40" t="s">
        <v>73</v>
      </c>
      <c r="E16" s="41" t="s">
        <v>74</v>
      </c>
      <c r="F16" s="42" t="s">
        <v>75</v>
      </c>
      <c r="G16" s="43">
        <f t="shared" si="0"/>
        <v>0</v>
      </c>
      <c r="H16" s="44" t="s">
        <v>76</v>
      </c>
      <c r="I16" s="18"/>
      <c r="J16" s="18"/>
      <c r="K16" s="19"/>
    </row>
    <row r="17" spans="1:17" s="20" customFormat="1" ht="21" x14ac:dyDescent="0.25">
      <c r="A17" s="37">
        <v>7</v>
      </c>
      <c r="B17" s="38" t="s">
        <v>77</v>
      </c>
      <c r="C17" s="39" t="s">
        <v>78</v>
      </c>
      <c r="D17" s="40" t="s">
        <v>79</v>
      </c>
      <c r="E17" s="41" t="s">
        <v>80</v>
      </c>
      <c r="F17" s="42" t="s">
        <v>81</v>
      </c>
      <c r="G17" s="43">
        <f t="shared" si="0"/>
        <v>0</v>
      </c>
      <c r="H17" s="44" t="s">
        <v>82</v>
      </c>
      <c r="I17" s="18"/>
      <c r="J17" s="18"/>
      <c r="K17" s="19"/>
    </row>
    <row r="18" spans="1:17" s="20" customFormat="1" ht="21" x14ac:dyDescent="0.25">
      <c r="A18" s="37">
        <v>8</v>
      </c>
      <c r="B18" s="38" t="s">
        <v>83</v>
      </c>
      <c r="C18" s="39" t="s">
        <v>84</v>
      </c>
      <c r="D18" s="40" t="s">
        <v>85</v>
      </c>
      <c r="E18" s="41" t="s">
        <v>86</v>
      </c>
      <c r="F18" s="42" t="s">
        <v>87</v>
      </c>
      <c r="G18" s="43">
        <f t="shared" si="0"/>
        <v>0</v>
      </c>
      <c r="H18" s="44" t="s">
        <v>88</v>
      </c>
      <c r="I18" s="18"/>
      <c r="J18" s="18"/>
      <c r="K18" s="19"/>
    </row>
    <row r="19" spans="1:17" s="20" customFormat="1" ht="21" x14ac:dyDescent="0.25">
      <c r="A19" s="37">
        <v>9</v>
      </c>
      <c r="B19" s="38" t="s">
        <v>89</v>
      </c>
      <c r="C19" s="39" t="s">
        <v>90</v>
      </c>
      <c r="D19" s="40" t="s">
        <v>91</v>
      </c>
      <c r="E19" s="41" t="s">
        <v>92</v>
      </c>
      <c r="F19" s="42" t="s">
        <v>93</v>
      </c>
      <c r="G19" s="43">
        <f t="shared" si="0"/>
        <v>0</v>
      </c>
      <c r="H19" s="44" t="s">
        <v>94</v>
      </c>
      <c r="I19" s="18"/>
      <c r="J19" s="18"/>
      <c r="K19" s="19"/>
    </row>
    <row r="20" spans="1:17" s="20" customFormat="1" ht="21" x14ac:dyDescent="0.25">
      <c r="A20" s="37">
        <v>10</v>
      </c>
      <c r="B20" s="38" t="s">
        <v>95</v>
      </c>
      <c r="C20" s="39" t="s">
        <v>96</v>
      </c>
      <c r="D20" s="40" t="s">
        <v>97</v>
      </c>
      <c r="E20" s="41" t="s">
        <v>98</v>
      </c>
      <c r="F20" s="42" t="s">
        <v>99</v>
      </c>
      <c r="G20" s="43">
        <f t="shared" si="0"/>
        <v>0</v>
      </c>
      <c r="H20" s="44" t="s">
        <v>100</v>
      </c>
      <c r="I20" s="18"/>
      <c r="J20" s="18"/>
      <c r="K20" s="19"/>
    </row>
    <row r="21" spans="1:17" s="20" customFormat="1" ht="21" x14ac:dyDescent="0.25">
      <c r="A21" s="37">
        <v>11</v>
      </c>
      <c r="B21" s="38" t="s">
        <v>101</v>
      </c>
      <c r="C21" s="39" t="s">
        <v>102</v>
      </c>
      <c r="D21" s="40" t="s">
        <v>103</v>
      </c>
      <c r="E21" s="41" t="s">
        <v>104</v>
      </c>
      <c r="F21" s="42" t="s">
        <v>105</v>
      </c>
      <c r="G21" s="43">
        <f t="shared" si="0"/>
        <v>0</v>
      </c>
      <c r="H21" s="44" t="s">
        <v>106</v>
      </c>
      <c r="I21" s="18"/>
      <c r="J21" s="18"/>
      <c r="K21" s="19"/>
    </row>
    <row r="22" spans="1:17" s="20" customFormat="1" ht="21" x14ac:dyDescent="0.25">
      <c r="A22" s="37">
        <v>12</v>
      </c>
      <c r="B22" s="45" t="s">
        <v>107</v>
      </c>
      <c r="C22" s="46" t="s">
        <v>108</v>
      </c>
      <c r="D22" s="40" t="s">
        <v>109</v>
      </c>
      <c r="E22" s="41" t="s">
        <v>110</v>
      </c>
      <c r="F22" s="42" t="s">
        <v>111</v>
      </c>
      <c r="G22" s="43">
        <f t="shared" si="0"/>
        <v>0</v>
      </c>
      <c r="H22" s="44" t="s">
        <v>112</v>
      </c>
      <c r="I22" s="22"/>
      <c r="J22" s="22"/>
      <c r="K22" s="19"/>
    </row>
    <row r="23" spans="1:17" s="20" customFormat="1" ht="21" x14ac:dyDescent="0.25">
      <c r="A23" s="37">
        <v>13</v>
      </c>
      <c r="B23" s="45" t="s">
        <v>113</v>
      </c>
      <c r="C23" s="39" t="s">
        <v>114</v>
      </c>
      <c r="D23" s="40" t="s">
        <v>115</v>
      </c>
      <c r="E23" s="41" t="s">
        <v>116</v>
      </c>
      <c r="F23" s="42" t="s">
        <v>117</v>
      </c>
      <c r="G23" s="43">
        <f t="shared" si="0"/>
        <v>0</v>
      </c>
      <c r="H23" s="44" t="s">
        <v>118</v>
      </c>
      <c r="I23" s="22"/>
      <c r="J23" s="22"/>
      <c r="K23" s="19"/>
    </row>
    <row r="24" spans="1:17" s="20" customFormat="1" ht="21" x14ac:dyDescent="0.25">
      <c r="A24" s="37"/>
      <c r="B24" s="37" t="s">
        <v>7</v>
      </c>
      <c r="C24" s="37"/>
      <c r="D24" s="47"/>
      <c r="E24" s="47"/>
      <c r="F24" s="47"/>
      <c r="G24" s="43">
        <f>SUM(G11:G23)</f>
        <v>0</v>
      </c>
      <c r="H24" s="41"/>
      <c r="I24" s="22"/>
      <c r="J24" s="22"/>
      <c r="K24" s="23"/>
    </row>
    <row r="25" spans="1:17" s="20" customFormat="1" ht="21" x14ac:dyDescent="0.25">
      <c r="A25" s="13"/>
      <c r="B25" s="13"/>
      <c r="C25" s="13"/>
      <c r="D25" s="24"/>
      <c r="E25" s="24"/>
      <c r="F25" s="12" t="s">
        <v>13</v>
      </c>
      <c r="G25" s="36">
        <f>SUM(G11:G23)</f>
        <v>0</v>
      </c>
      <c r="H25" s="12"/>
      <c r="I25" s="22"/>
      <c r="J25" s="21"/>
      <c r="K25" s="21"/>
    </row>
    <row r="26" spans="1:17" s="20" customFormat="1" ht="21" x14ac:dyDescent="0.25">
      <c r="A26" s="13"/>
      <c r="B26" s="13"/>
      <c r="C26" s="13"/>
      <c r="D26" s="24"/>
      <c r="E26" s="24"/>
      <c r="F26" s="12" t="s">
        <v>11</v>
      </c>
      <c r="G26" s="36">
        <f>G25*5%</f>
        <v>0</v>
      </c>
      <c r="H26" s="12"/>
      <c r="I26" s="22"/>
      <c r="J26" s="21"/>
      <c r="K26" s="21"/>
    </row>
    <row r="27" spans="1:17" s="20" customFormat="1" ht="21.75" thickBot="1" x14ac:dyDescent="0.3">
      <c r="A27" s="13"/>
      <c r="B27" s="13"/>
      <c r="C27" s="13"/>
      <c r="D27" s="24"/>
      <c r="E27" s="24"/>
      <c r="F27" s="51" t="s">
        <v>12</v>
      </c>
      <c r="G27" s="52">
        <f>G25+G26</f>
        <v>0</v>
      </c>
      <c r="H27" s="12"/>
      <c r="I27" s="22"/>
      <c r="J27" s="21"/>
      <c r="K27" s="21"/>
    </row>
    <row r="28" spans="1:17" s="20" customFormat="1" ht="21" x14ac:dyDescent="0.25">
      <c r="A28" s="24" t="s">
        <v>8</v>
      </c>
      <c r="B28" s="13"/>
      <c r="C28" s="13"/>
      <c r="D28" s="24"/>
      <c r="E28" s="24"/>
      <c r="F28" s="24"/>
      <c r="G28" s="24"/>
      <c r="H28" s="12"/>
      <c r="I28" s="21"/>
      <c r="J28" s="21"/>
      <c r="K28" s="21"/>
      <c r="L28" s="25"/>
      <c r="O28" s="26"/>
      <c r="Q28" s="27"/>
    </row>
    <row r="29" spans="1:17" s="20" customFormat="1" ht="21" x14ac:dyDescent="0.25">
      <c r="A29" s="24"/>
      <c r="B29" s="56" t="s">
        <v>14</v>
      </c>
      <c r="C29" s="56"/>
      <c r="D29" s="28"/>
      <c r="E29" s="28"/>
      <c r="F29" s="28"/>
      <c r="G29" s="28"/>
      <c r="H29" s="28"/>
      <c r="I29" s="21"/>
      <c r="J29" s="21"/>
      <c r="K29" s="21"/>
      <c r="L29" s="25"/>
      <c r="O29" s="26"/>
      <c r="Q29" s="27"/>
    </row>
    <row r="30" spans="1:17" s="20" customFormat="1" ht="21" x14ac:dyDescent="0.25">
      <c r="A30" s="24"/>
      <c r="B30" s="29" t="s">
        <v>15</v>
      </c>
      <c r="C30" s="29"/>
      <c r="D30" s="29"/>
      <c r="E30" s="29"/>
      <c r="F30" s="29"/>
      <c r="G30" s="29"/>
      <c r="H30" s="29"/>
      <c r="I30" s="21"/>
      <c r="J30" s="21"/>
      <c r="K30" s="21"/>
      <c r="L30" s="25"/>
      <c r="O30" s="26"/>
      <c r="Q30" s="27"/>
    </row>
    <row r="31" spans="1:17" s="20" customFormat="1" ht="21" x14ac:dyDescent="0.25">
      <c r="A31" s="24"/>
      <c r="B31" s="29" t="s">
        <v>32</v>
      </c>
      <c r="C31" s="29"/>
      <c r="D31" s="29"/>
      <c r="E31" s="29"/>
      <c r="F31" s="29"/>
      <c r="G31" s="29"/>
      <c r="H31" s="29"/>
      <c r="I31" s="30"/>
      <c r="J31" s="31"/>
      <c r="K31" s="32"/>
      <c r="L31" s="25"/>
    </row>
    <row r="32" spans="1:17" s="20" customFormat="1" ht="21" x14ac:dyDescent="0.25">
      <c r="A32" s="33"/>
      <c r="B32" s="29" t="s">
        <v>16</v>
      </c>
      <c r="C32" s="29"/>
      <c r="D32" s="29"/>
      <c r="E32" s="29"/>
      <c r="F32" s="29"/>
      <c r="G32" s="29"/>
      <c r="H32" s="29"/>
      <c r="I32" s="30"/>
      <c r="J32" s="31"/>
      <c r="K32" s="32"/>
      <c r="L32" s="25"/>
    </row>
    <row r="33" spans="1:12" s="20" customFormat="1" ht="21" x14ac:dyDescent="0.25">
      <c r="A33" s="24"/>
      <c r="B33" s="29" t="s">
        <v>119</v>
      </c>
      <c r="C33" s="29"/>
      <c r="D33" s="29"/>
      <c r="E33" s="29"/>
      <c r="F33" s="29"/>
      <c r="G33" s="29"/>
      <c r="H33" s="29"/>
      <c r="I33" s="34"/>
      <c r="L33" s="25"/>
    </row>
    <row r="34" spans="1:12" s="20" customFormat="1" ht="89.25" customHeight="1" x14ac:dyDescent="0.25">
      <c r="A34" s="24"/>
      <c r="B34" s="57" t="s">
        <v>28</v>
      </c>
      <c r="C34" s="57"/>
      <c r="D34" s="57"/>
      <c r="E34" s="57"/>
      <c r="F34" s="57"/>
      <c r="G34" s="57"/>
      <c r="H34" s="57"/>
      <c r="L34" s="35"/>
    </row>
    <row r="35" spans="1:12" s="20" customFormat="1" ht="21" x14ac:dyDescent="0.25">
      <c r="A35" s="24"/>
      <c r="B35" s="28"/>
      <c r="C35" s="28"/>
      <c r="D35" s="28"/>
      <c r="E35" s="28"/>
      <c r="F35" s="28"/>
      <c r="G35" s="28"/>
      <c r="H35" s="28"/>
      <c r="L35" s="35"/>
    </row>
    <row r="36" spans="1:12" s="20" customFormat="1" ht="21" x14ac:dyDescent="0.25">
      <c r="A36" s="24"/>
      <c r="B36" s="28" t="s">
        <v>26</v>
      </c>
      <c r="C36" s="28"/>
      <c r="E36" s="28"/>
      <c r="F36" s="28" t="s">
        <v>27</v>
      </c>
      <c r="G36" s="28"/>
      <c r="H36" s="28"/>
      <c r="L36" s="35"/>
    </row>
    <row r="37" spans="1:12" s="20" customFormat="1" ht="21" x14ac:dyDescent="0.25">
      <c r="A37" s="24"/>
      <c r="G37" s="28"/>
      <c r="H37" s="28"/>
      <c r="L37" s="35"/>
    </row>
    <row r="38" spans="1:12" s="20" customFormat="1" ht="21" x14ac:dyDescent="0.25">
      <c r="A38" s="24"/>
      <c r="G38" s="28"/>
      <c r="H38" s="28"/>
      <c r="L38" s="35"/>
    </row>
    <row r="39" spans="1:12" s="20" customFormat="1" ht="21" x14ac:dyDescent="0.25">
      <c r="A39" s="24"/>
      <c r="B39" s="28"/>
      <c r="C39" s="28"/>
      <c r="D39" s="28"/>
      <c r="E39" s="28"/>
      <c r="F39" s="28"/>
      <c r="G39" s="28"/>
      <c r="H39" s="28"/>
      <c r="L39" s="35"/>
    </row>
    <row r="40" spans="1:12" s="20" customFormat="1" ht="21" x14ac:dyDescent="0.25">
      <c r="A40" s="24"/>
      <c r="B40" s="28"/>
      <c r="C40" s="28"/>
      <c r="D40" s="28"/>
      <c r="E40" s="28"/>
      <c r="F40" s="28"/>
      <c r="G40" s="28"/>
      <c r="H40" s="28" t="s">
        <v>31</v>
      </c>
      <c r="L40" s="35"/>
    </row>
    <row r="41" spans="1:12" s="20" customFormat="1" ht="21" x14ac:dyDescent="0.25">
      <c r="A41" s="24"/>
      <c r="B41" s="28"/>
      <c r="C41" s="28"/>
      <c r="D41" s="28"/>
      <c r="E41" s="28"/>
      <c r="F41" s="28"/>
      <c r="G41" s="28"/>
      <c r="H41" s="28"/>
      <c r="L41" s="35"/>
    </row>
  </sheetData>
  <mergeCells count="6">
    <mergeCell ref="G7:H7"/>
    <mergeCell ref="G8:H8"/>
    <mergeCell ref="D1:E1"/>
    <mergeCell ref="B29:C29"/>
    <mergeCell ref="B34:H34"/>
    <mergeCell ref="G4:H4"/>
  </mergeCells>
  <phoneticPr fontId="1" type="noConversion"/>
  <printOptions horizontalCentered="1"/>
  <pageMargins left="0.31496062992125984" right="0.11811023622047245" top="0" bottom="0.15748031496062992" header="0" footer="0"/>
  <pageSetup paperSize="9" scale="80" orientation="portrait" r:id="rId1"/>
  <headerFooter>
    <oddFooter>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船用</vt:lpstr>
      <vt:lpstr>船用!Print_Area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Chiayu Myu</cp:lastModifiedBy>
  <cp:lastPrinted>2026-07-06T06:53:16Z</cp:lastPrinted>
  <dcterms:created xsi:type="dcterms:W3CDTF">2012-10-05T06:57:10Z</dcterms:created>
  <dcterms:modified xsi:type="dcterms:W3CDTF">2026-08-11T06:00:16Z</dcterms:modified>
</cp:coreProperties>
</file>